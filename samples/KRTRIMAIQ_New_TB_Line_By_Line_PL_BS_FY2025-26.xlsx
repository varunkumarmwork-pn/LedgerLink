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D-5\Admin 5\Audit and Financial Statements\FY 2025-26\KrtrimaIQ\Reprots\"/>
    </mc:Choice>
  </mc:AlternateContent>
  <xr:revisionPtr revIDLastSave="0" documentId="13_ncr:1_{EB3C8075-B8ED-42CF-8BC3-F6E5AEF63E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&amp;L" sheetId="1" r:id="rId1"/>
    <sheet name="BS" sheetId="2" r:id="rId2"/>
    <sheet name="Fixed Assets" sheetId="3" r:id="rId3"/>
    <sheet name="TB" sheetId="4" r:id="rId4"/>
    <sheet name="Notes" sheetId="5" r:id="rId5"/>
  </sheets>
  <definedNames>
    <definedName name="_xlnm.Print_Area" localSheetId="1">BS!$A$1:$D$58</definedName>
    <definedName name="_xlnm.Print_Area" localSheetId="0">'P&amp;L'!$A$1:$D$47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22" i="2"/>
  <c r="B19" i="2"/>
  <c r="B15" i="2"/>
  <c r="B11" i="2"/>
  <c r="B10" i="2"/>
  <c r="B25" i="1"/>
  <c r="B17" i="1"/>
  <c r="B16" i="1"/>
  <c r="B15" i="1"/>
  <c r="B14" i="1"/>
  <c r="B10" i="1"/>
  <c r="B9" i="1"/>
  <c r="I226" i="5"/>
  <c r="J317" i="5"/>
  <c r="I317" i="5"/>
  <c r="J306" i="5"/>
  <c r="D27" i="1" s="1"/>
  <c r="I306" i="5"/>
  <c r="C27" i="1" s="1"/>
  <c r="J305" i="5"/>
  <c r="I305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I299" i="5" s="1"/>
  <c r="C17" i="1" s="1"/>
  <c r="J263" i="5"/>
  <c r="J265" i="5" s="1"/>
  <c r="D16" i="1" s="1"/>
  <c r="J255" i="5"/>
  <c r="J257" i="5" s="1"/>
  <c r="D15" i="1" s="1"/>
  <c r="I255" i="5"/>
  <c r="I257" i="5" s="1"/>
  <c r="C15" i="1" s="1"/>
  <c r="J247" i="5"/>
  <c r="I247" i="5"/>
  <c r="J246" i="5"/>
  <c r="I246" i="5"/>
  <c r="J245" i="5"/>
  <c r="I245" i="5"/>
  <c r="J244" i="5"/>
  <c r="J249" i="5" s="1"/>
  <c r="D14" i="1" s="1"/>
  <c r="I244" i="5"/>
  <c r="J236" i="5"/>
  <c r="I236" i="5"/>
  <c r="J235" i="5"/>
  <c r="J238" i="5" s="1"/>
  <c r="D10" i="1" s="1"/>
  <c r="I235" i="5"/>
  <c r="I238" i="5" s="1"/>
  <c r="C10" i="1" s="1"/>
  <c r="J227" i="5"/>
  <c r="I227" i="5"/>
  <c r="J226" i="5"/>
  <c r="J229" i="5" s="1"/>
  <c r="D9" i="1" s="1"/>
  <c r="D11" i="1" s="1"/>
  <c r="I229" i="5"/>
  <c r="C9" i="1" s="1"/>
  <c r="I218" i="5"/>
  <c r="J217" i="5"/>
  <c r="J220" i="5" s="1"/>
  <c r="D39" i="2" s="1"/>
  <c r="I217" i="5"/>
  <c r="I220" i="5" s="1"/>
  <c r="C39" i="2" s="1"/>
  <c r="J211" i="5"/>
  <c r="D38" i="2" s="1"/>
  <c r="I211" i="5"/>
  <c r="C38" i="2" s="1"/>
  <c r="J203" i="5"/>
  <c r="D37" i="2" s="1"/>
  <c r="I201" i="5"/>
  <c r="I203" i="5" s="1"/>
  <c r="C37" i="2" s="1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I185" i="5"/>
  <c r="I184" i="5"/>
  <c r="I183" i="5"/>
  <c r="I182" i="5"/>
  <c r="J181" i="5"/>
  <c r="I181" i="5"/>
  <c r="J180" i="5"/>
  <c r="I180" i="5"/>
  <c r="J195" i="5"/>
  <c r="D36" i="2" s="1"/>
  <c r="I179" i="5"/>
  <c r="J171" i="5"/>
  <c r="J173" i="5" s="1"/>
  <c r="D32" i="2" s="1"/>
  <c r="I171" i="5"/>
  <c r="I173" i="5" s="1"/>
  <c r="C32" i="2" s="1"/>
  <c r="J163" i="5"/>
  <c r="J165" i="5" s="1"/>
  <c r="D31" i="2" s="1"/>
  <c r="I163" i="5"/>
  <c r="I165" i="5" s="1"/>
  <c r="C31" i="2" s="1"/>
  <c r="J155" i="5"/>
  <c r="J157" i="5" s="1"/>
  <c r="D30" i="2" s="1"/>
  <c r="I155" i="5"/>
  <c r="I157" i="5" s="1"/>
  <c r="C30" i="2" s="1"/>
  <c r="J138" i="5"/>
  <c r="I138" i="5"/>
  <c r="I137" i="5"/>
  <c r="I136" i="5"/>
  <c r="I135" i="5"/>
  <c r="I134" i="5"/>
  <c r="I133" i="5"/>
  <c r="I132" i="5"/>
  <c r="I131" i="5"/>
  <c r="I130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I99" i="5"/>
  <c r="J97" i="5"/>
  <c r="I97" i="5"/>
  <c r="J96" i="5"/>
  <c r="I96" i="5"/>
  <c r="J95" i="5"/>
  <c r="I95" i="5"/>
  <c r="I94" i="5"/>
  <c r="I93" i="5"/>
  <c r="J92" i="5"/>
  <c r="I92" i="5"/>
  <c r="J91" i="5"/>
  <c r="I91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I39" i="5"/>
  <c r="J37" i="5"/>
  <c r="D21" i="2" s="1"/>
  <c r="I37" i="5"/>
  <c r="J29" i="5"/>
  <c r="J31" i="5" s="1"/>
  <c r="D15" i="2" s="1"/>
  <c r="D16" i="2" s="1"/>
  <c r="I29" i="5"/>
  <c r="I31" i="5" s="1"/>
  <c r="C15" i="2" s="1"/>
  <c r="C16" i="2" s="1"/>
  <c r="J21" i="5"/>
  <c r="J23" i="5" s="1"/>
  <c r="D11" i="2" s="1"/>
  <c r="J13" i="5"/>
  <c r="I13" i="5"/>
  <c r="J12" i="5"/>
  <c r="I12" i="5"/>
  <c r="I11" i="5"/>
  <c r="I10" i="5"/>
  <c r="J9" i="5"/>
  <c r="D10" i="2" s="1"/>
  <c r="D12" i="2" s="1"/>
  <c r="I9" i="5"/>
  <c r="I15" i="5" s="1"/>
  <c r="C10" i="2" s="1"/>
  <c r="H16" i="3"/>
  <c r="I263" i="5" s="1"/>
  <c r="I265" i="5" s="1"/>
  <c r="C16" i="1" s="1"/>
  <c r="I15" i="3"/>
  <c r="G15" i="3"/>
  <c r="E15" i="3"/>
  <c r="D15" i="3"/>
  <c r="C15" i="3"/>
  <c r="I14" i="3"/>
  <c r="G14" i="3"/>
  <c r="J14" i="3" s="1"/>
  <c r="E14" i="3"/>
  <c r="D14" i="3"/>
  <c r="C14" i="3"/>
  <c r="I13" i="3"/>
  <c r="G13" i="3"/>
  <c r="J13" i="3" s="1"/>
  <c r="E13" i="3"/>
  <c r="D13" i="3"/>
  <c r="C13" i="3"/>
  <c r="I12" i="3"/>
  <c r="G12" i="3"/>
  <c r="E12" i="3"/>
  <c r="D12" i="3"/>
  <c r="C12" i="3"/>
  <c r="J15" i="3" l="1"/>
  <c r="I82" i="5"/>
  <c r="I84" i="5" s="1"/>
  <c r="C21" i="2" s="1"/>
  <c r="I195" i="5"/>
  <c r="C36" i="2" s="1"/>
  <c r="C40" i="2" s="1"/>
  <c r="C11" i="1"/>
  <c r="I249" i="5"/>
  <c r="C14" i="1" s="1"/>
  <c r="D40" i="2"/>
  <c r="D20" i="1"/>
  <c r="D22" i="1" s="1"/>
  <c r="D24" i="1" s="1"/>
  <c r="D18" i="1"/>
  <c r="J299" i="5"/>
  <c r="D17" i="1" s="1"/>
  <c r="I16" i="3"/>
  <c r="E16" i="3"/>
  <c r="D16" i="3"/>
  <c r="J308" i="5"/>
  <c r="D26" i="1"/>
  <c r="I308" i="5"/>
  <c r="C26" i="1"/>
  <c r="J141" i="5"/>
  <c r="D22" i="2" s="1"/>
  <c r="D23" i="2" s="1"/>
  <c r="D24" i="2" s="1"/>
  <c r="J321" i="5" s="1"/>
  <c r="I139" i="5"/>
  <c r="I141" i="5" s="1"/>
  <c r="C22" i="2" s="1"/>
  <c r="L15" i="3"/>
  <c r="F15" i="3"/>
  <c r="K15" i="3" s="1"/>
  <c r="L14" i="3"/>
  <c r="F14" i="3"/>
  <c r="K14" i="3" s="1"/>
  <c r="L13" i="3"/>
  <c r="F13" i="3"/>
  <c r="K13" i="3" s="1"/>
  <c r="G16" i="3"/>
  <c r="J12" i="3"/>
  <c r="J16" i="3" s="1"/>
  <c r="C16" i="3"/>
  <c r="L12" i="3"/>
  <c r="F12" i="3"/>
  <c r="C18" i="1"/>
  <c r="C20" i="1" s="1"/>
  <c r="C22" i="1" s="1"/>
  <c r="C24" i="1" s="1"/>
  <c r="D28" i="1" l="1"/>
  <c r="C23" i="2"/>
  <c r="C28" i="1"/>
  <c r="I21" i="5" s="1"/>
  <c r="I23" i="5" s="1"/>
  <c r="C11" i="2" s="1"/>
  <c r="C12" i="2" s="1"/>
  <c r="C24" i="2" s="1"/>
  <c r="K12" i="3"/>
  <c r="K16" i="3" s="1"/>
  <c r="I147" i="5" s="1"/>
  <c r="I149" i="5" s="1"/>
  <c r="C29" i="2" s="1"/>
  <c r="C33" i="2" s="1"/>
  <c r="C42" i="2" s="1"/>
  <c r="F16" i="3"/>
  <c r="L16" i="3"/>
  <c r="J149" i="5" s="1"/>
  <c r="D29" i="2" s="1"/>
  <c r="D33" i="2" s="1"/>
  <c r="D42" i="2" s="1"/>
  <c r="J322" i="5" s="1"/>
  <c r="J323" i="5" s="1"/>
  <c r="I322" i="5" l="1"/>
  <c r="E42" i="2"/>
  <c r="I321" i="5"/>
  <c r="I323" i="5" l="1"/>
</calcChain>
</file>

<file path=xl/sharedStrings.xml><?xml version="1.0" encoding="utf-8"?>
<sst xmlns="http://schemas.openxmlformats.org/spreadsheetml/2006/main" count="584" uniqueCount="300">
  <si>
    <t>KRTRIMAIQ COGNITIVE SOLUTIONS</t>
  </si>
  <si>
    <t>(Partnership Firm)</t>
  </si>
  <si>
    <t>(Address: No. 98/A 3Rd Floor, 30Th Cross,7Th Block Jayanagar, Bangalore, KARNATAKA - 560082)</t>
  </si>
  <si>
    <t>Statement of Profit and loss for the year ended 31 March 2026</t>
  </si>
  <si>
    <t>(In Rs)</t>
  </si>
  <si>
    <t>Particulars</t>
  </si>
  <si>
    <t>Note</t>
  </si>
  <si>
    <t>Revenue from Operations</t>
  </si>
  <si>
    <t>Other Income</t>
  </si>
  <si>
    <t>Total Income</t>
  </si>
  <si>
    <t>Expenses</t>
  </si>
  <si>
    <t>Employee Benefit Expenses</t>
  </si>
  <si>
    <t>Finance Costs</t>
  </si>
  <si>
    <t>Depreciation and Amortization Expenses</t>
  </si>
  <si>
    <t>Other Expenses</t>
  </si>
  <si>
    <t>Total expenses</t>
  </si>
  <si>
    <t>Profit/(Loss) before Exceptional and Extraordinary Item and Tax</t>
  </si>
  <si>
    <t>Exceptional Item</t>
  </si>
  <si>
    <t>Profit/(Loss) before Extraordinary Item and Tax</t>
  </si>
  <si>
    <t>Extraordinary Item</t>
  </si>
  <si>
    <t>Profit/(Loss) before Tax</t>
  </si>
  <si>
    <t>Tax Expenses</t>
  </si>
  <si>
    <t>- Current Tax</t>
  </si>
  <si>
    <t>- Deferred Tax</t>
  </si>
  <si>
    <t>Profit/(Loss) after Tax</t>
  </si>
  <si>
    <t>Earnings Per Share (Face Value per Share Rs.10 each)</t>
  </si>
  <si>
    <t>-Basic (In Rs)</t>
  </si>
  <si>
    <t>-Diluted (In Rs)</t>
  </si>
  <si>
    <t>See accompanying notes to the financial statements</t>
  </si>
  <si>
    <t>As per our report of even date</t>
  </si>
  <si>
    <t>For and on behalf of the Partners of</t>
  </si>
  <si>
    <t>For R.K.Tantry &amp; Co.,</t>
  </si>
  <si>
    <t>Chartered Accountants</t>
  </si>
  <si>
    <t>Firm's Registration No. 004335S</t>
  </si>
  <si>
    <t>Radhakrishna Tantry</t>
  </si>
  <si>
    <t>SRINIVAS RAO POLADI</t>
  </si>
  <si>
    <t/>
  </si>
  <si>
    <t>Partner</t>
  </si>
  <si>
    <t>PARTNER</t>
  </si>
  <si>
    <t>Membership No. 024012</t>
  </si>
  <si>
    <t>UDIN:</t>
  </si>
  <si>
    <t>Place: Bangalore</t>
  </si>
  <si>
    <t>Date:</t>
  </si>
  <si>
    <t>Balance Sheet as at 31 March 2026</t>
  </si>
  <si>
    <t>I. EQUITY AND LIABILITIES</t>
  </si>
  <si>
    <t>(1) Partners' funds</t>
  </si>
  <si>
    <t>(a) Capital Account</t>
  </si>
  <si>
    <t>(b) Profit and Loss Account</t>
  </si>
  <si>
    <t>Total</t>
  </si>
  <si>
    <t>(2) Non-current liabilities</t>
  </si>
  <si>
    <t>(a) Long-term Borrowings</t>
  </si>
  <si>
    <t>(3) Current liabilities</t>
  </si>
  <si>
    <t>(a) Trade Payables</t>
  </si>
  <si>
    <t>- Due to Micro and Small Enterprises</t>
  </si>
  <si>
    <t>- Due to Others</t>
  </si>
  <si>
    <t>(b) Short-term Provisions and Statutory Liabilities</t>
  </si>
  <si>
    <t>Total Equity and Liabilities</t>
  </si>
  <si>
    <t>II. ASSETS</t>
  </si>
  <si>
    <t>(1) Non-current assets</t>
  </si>
  <si>
    <t>(a) Property, Plant and Equipment and Intangible Assets</t>
  </si>
  <si>
    <t>(i) Property, Plant and Equipment</t>
  </si>
  <si>
    <t>(b) Non-current Investments</t>
  </si>
  <si>
    <t>(c) Deferred Tax Assets (net)</t>
  </si>
  <si>
    <t>(d) Other Non-current Assets</t>
  </si>
  <si>
    <t>(2) Current assets</t>
  </si>
  <si>
    <t>(a) Trade Receivables</t>
  </si>
  <si>
    <t>(b) Cash and cash equivalents</t>
  </si>
  <si>
    <t>(c) Inventories</t>
  </si>
  <si>
    <t>(d) Other Current Assets</t>
  </si>
  <si>
    <t>Total Assets</t>
  </si>
  <si>
    <t>Fixed Assets Schedule forming part of the Financial Statements</t>
  </si>
  <si>
    <t>Property, Plant and Equipment</t>
  </si>
  <si>
    <t>Name of Assets</t>
  </si>
  <si>
    <t>Gross Block</t>
  </si>
  <si>
    <t>Depreciation and Amortization</t>
  </si>
  <si>
    <t>Net Block</t>
  </si>
  <si>
    <t>As on</t>
  </si>
  <si>
    <t>Addition</t>
  </si>
  <si>
    <t>Deduction</t>
  </si>
  <si>
    <t>for the</t>
  </si>
  <si>
    <t>year</t>
  </si>
  <si>
    <t>Computer- Laptop- IPad</t>
  </si>
  <si>
    <t>Furniture and Fittings</t>
  </si>
  <si>
    <t>Mobile</t>
  </si>
  <si>
    <t>Office Equipments</t>
  </si>
  <si>
    <t>Previous Year</t>
  </si>
  <si>
    <t>KRTRIMAIQ COGNITIVE SOLUTIONS - (2023-24)</t>
  </si>
  <si>
    <t>No. 98/A 3Rd Floor</t>
  </si>
  <si>
    <t>30Th Cross,7Th Block Jayanagar</t>
  </si>
  <si>
    <t>Bangalore</t>
  </si>
  <si>
    <t>KARNATAKA</t>
  </si>
  <si>
    <t>560082</t>
  </si>
  <si>
    <t>E-Mail : srinivasarao.poladi@krtri maiq.ai</t>
  </si>
  <si>
    <t>Trial Balance</t>
  </si>
  <si>
    <t>1-Apr-25 to 31-Mar-26</t>
  </si>
  <si>
    <t>9</t>
  </si>
  <si>
    <t>KRTRIMAIQ COGNITIVE SOLUTIONS - (2023-24) - (from 1-Apr-24) - (from 1-Apr-25)</t>
  </si>
  <si>
    <t>Opening</t>
  </si>
  <si>
    <t>Transactions</t>
  </si>
  <si>
    <t>Closing</t>
  </si>
  <si>
    <t>Balance</t>
  </si>
  <si>
    <t>Debit</t>
  </si>
  <si>
    <t>Credit</t>
  </si>
  <si>
    <t>Capital Account</t>
  </si>
  <si>
    <t>Appropriation</t>
  </si>
  <si>
    <t>Laxmi Poladi</t>
  </si>
  <si>
    <t>Srinivas Rao Poladi</t>
  </si>
  <si>
    <t>Srinivas Rao Poladi - B1 Health</t>
  </si>
  <si>
    <t>Srinivas Rao Poladi-Loan</t>
  </si>
  <si>
    <t>Srinivas Rao Poladi -  Sambhuthi</t>
  </si>
  <si>
    <t>Current Liabilities</t>
  </si>
  <si>
    <t>Duties &amp; Taxes</t>
  </si>
  <si>
    <t>CGST Input Tax</t>
  </si>
  <si>
    <t>CGST Output Tax</t>
  </si>
  <si>
    <t>GST Payable</t>
  </si>
  <si>
    <t>IGST Input Tax</t>
  </si>
  <si>
    <t>IGST Output Tax</t>
  </si>
  <si>
    <t>SGST Input Tax</t>
  </si>
  <si>
    <t>SGST Output Tax</t>
  </si>
  <si>
    <t>Provisions</t>
  </si>
  <si>
    <t>Expenses Payable</t>
  </si>
  <si>
    <t>Akash Jena Expenses Payable</t>
  </si>
  <si>
    <t>Arnab Ghosh Exp Payable</t>
  </si>
  <si>
    <t>Arnav Kumar Exp</t>
  </si>
  <si>
    <t>Arun Kumar K Exp Paybale</t>
  </si>
  <si>
    <t>ASHISH SHUKLA Exp Paybale</t>
  </si>
  <si>
    <t>Christy Joseph Exp Payable</t>
  </si>
  <si>
    <t>Divyansh Chhablani Exp</t>
  </si>
  <si>
    <t>Dushyant Chauhan Exp</t>
  </si>
  <si>
    <t>Hemanth Ganta V V Expenses Payable</t>
  </si>
  <si>
    <t>Jaishree R Exp Payable</t>
  </si>
  <si>
    <t>Mohammed Rafeeq Expenses</t>
  </si>
  <si>
    <t>Nikhil Kumar Expenses Payable</t>
  </si>
  <si>
    <t>Om Prakash Narayan Gunalan- Exp</t>
  </si>
  <si>
    <t>Parth Kumar Expenses.</t>
  </si>
  <si>
    <t>Pasupuleti Surya Chandra Exp Payable</t>
  </si>
  <si>
    <t>PAVITHRAA SHANMUGAM Exp Payable</t>
  </si>
  <si>
    <t>Prajwal Nagaraja Exp</t>
  </si>
  <si>
    <t>Rohit Bohira Exp Paybale</t>
  </si>
  <si>
    <t>Rohit Kumar Bairy Exp Payable</t>
  </si>
  <si>
    <t>Sailesh Kumar K Expenses Payable</t>
  </si>
  <si>
    <t>Shishir Nagaraj Exp Payable</t>
  </si>
  <si>
    <t>Shravan Madhyasta Exp Payable</t>
  </si>
  <si>
    <t>Sneha Biradar Revan Exp Payable</t>
  </si>
  <si>
    <t>Sreedharreddy Rahul Expenses</t>
  </si>
  <si>
    <t>Srinivas Poladi Expenses Payable</t>
  </si>
  <si>
    <t>Sriram Prakasam G Expenses</t>
  </si>
  <si>
    <t>Sunnam Harshavardhan-Exp Payayble</t>
  </si>
  <si>
    <t>SWAPNIL VISHWAS BAVISKAR-Exp Payable</t>
  </si>
  <si>
    <t>VELMULA SANATH REDDY Exp Payable</t>
  </si>
  <si>
    <t>Professional Fee Payable</t>
  </si>
  <si>
    <t>Salary Payable</t>
  </si>
  <si>
    <t>Stipend Payable</t>
  </si>
  <si>
    <t>EPF Payable - Admnistration Charges</t>
  </si>
  <si>
    <t>EPF Payble - Employee Contribution</t>
  </si>
  <si>
    <t>EPF Payble - Employer Contribution</t>
  </si>
  <si>
    <t>Professional Tax on Salary</t>
  </si>
  <si>
    <t>TDS on Professinal Charges</t>
  </si>
  <si>
    <t>TDS on Professinal Charges- 2024-25</t>
  </si>
  <si>
    <t>TDS on  Salary</t>
  </si>
  <si>
    <t>Sundry Creditors</t>
  </si>
  <si>
    <t>AINTREE TECH SOLUTIONS PRIVATE LIMITED</t>
  </si>
  <si>
    <t>Amazon</t>
  </si>
  <si>
    <t>AMAZON WEB SERVICES INDIA PRIVATE LIMITED</t>
  </si>
  <si>
    <t>ANALYTICS INDIA MAGAZINE PRIVATE LIMITED</t>
  </si>
  <si>
    <t>ANTHROPIC</t>
  </si>
  <si>
    <t>APPYHAPPY SOFTWARE PRIVATE LIMITED</t>
  </si>
  <si>
    <t>AUTHBRIDGE RESEARCH SERVICES PVT LTD</t>
  </si>
  <si>
    <t>AV INFOLINE</t>
  </si>
  <si>
    <t>BROWNE &amp; MOHAN</t>
  </si>
  <si>
    <t>CARE HEALTH INSURANCE LIMITED</t>
  </si>
  <si>
    <t>CLICKTECH RETAIL PRIVATE LIMITED</t>
  </si>
  <si>
    <t>CONFEDERATION OF INDIAN INDUSTRY</t>
  </si>
  <si>
    <t>E2E Networks Limited</t>
  </si>
  <si>
    <t>Futura Digiral Colour Press</t>
  </si>
  <si>
    <t>HDFC ERGO GENERAL INSURANCE COMPANY LIMITED</t>
  </si>
  <si>
    <t>HEYGEN TECHNOLOGY INC</t>
  </si>
  <si>
    <t>Interglobe Aviation Limited</t>
  </si>
  <si>
    <t>KHARESIYA BRANDS PRIVATE LIMITED</t>
  </si>
  <si>
    <t>LA MARVELLA U O</t>
  </si>
  <si>
    <t>Linkedin</t>
  </si>
  <si>
    <t>MAKE MY TRIP (INDIA) PVT. LTD.</t>
  </si>
  <si>
    <t>MANI ARTS</t>
  </si>
  <si>
    <t>Medium Subscription</t>
  </si>
  <si>
    <t>Mongo DB Subscription</t>
  </si>
  <si>
    <t>M/S INFO EDGE INDIA LTD</t>
  </si>
  <si>
    <t>M/S UNIVELL COMPUTERS</t>
  </si>
  <si>
    <t>NATIONAL ASSOCIATION OF SOFTWARE AND SERVICE COMPANIES</t>
  </si>
  <si>
    <t>OpenAI Service</t>
  </si>
  <si>
    <t>REDINGTON LIMITED</t>
  </si>
  <si>
    <t>RETAILEZ PRIVATE LIMITED</t>
  </si>
  <si>
    <t>RK Tantry &amp; Co</t>
  </si>
  <si>
    <t>SCORPZON TRADING PRIVATE LIMITED</t>
  </si>
  <si>
    <t>SECURE EDGE SAFETY SYSTEMS</t>
  </si>
  <si>
    <t>SIGNALHIRE C</t>
  </si>
  <si>
    <t>SILICON LOGICS COMPUTER SOLUTIONS</t>
  </si>
  <si>
    <t>SPICEJET LIMITED</t>
  </si>
  <si>
    <t>SRI  MANJUNATHA  BATTERIES</t>
  </si>
  <si>
    <t>The Magic Kreation</t>
  </si>
  <si>
    <t>TISHYA TECHNOLOGIES LLP</t>
  </si>
  <si>
    <t>TRAVELSTACK TECH LIMITED</t>
  </si>
  <si>
    <t>TRIDENT AUTO ENTERPRISES PRIVATE LIMITED</t>
  </si>
  <si>
    <t>UDEMY INDIA LLP</t>
  </si>
  <si>
    <t>UR COMPUTER</t>
  </si>
  <si>
    <t>Fixed Assets</t>
  </si>
  <si>
    <t>Current Assets</t>
  </si>
  <si>
    <t>Opening Stock</t>
  </si>
  <si>
    <t>Unbilled Revenue</t>
  </si>
  <si>
    <t>Sundry Debtors</t>
  </si>
  <si>
    <t>Agnoshin</t>
  </si>
  <si>
    <t>Almavest</t>
  </si>
  <si>
    <t>Alvence UK</t>
  </si>
  <si>
    <t>Aviana Global Services</t>
  </si>
  <si>
    <t>AZIM PREMJI FOUNDATION FOR DEVELOPMENT</t>
  </si>
  <si>
    <t>B1Health</t>
  </si>
  <si>
    <t>EXDION</t>
  </si>
  <si>
    <t>EXDION Healthcare Pvt Ltd</t>
  </si>
  <si>
    <t>Invensis Technologies</t>
  </si>
  <si>
    <t>Manipal Technologies Limited</t>
  </si>
  <si>
    <t>Oxford University Press</t>
  </si>
  <si>
    <t>Phoxel Technologies</t>
  </si>
  <si>
    <t>Quest Global Engineering Services Private Limited</t>
  </si>
  <si>
    <t>Stack Digital India</t>
  </si>
  <si>
    <t>The Energey and Resources Institute</t>
  </si>
  <si>
    <t>Bank Accounts</t>
  </si>
  <si>
    <t>HDFC36225</t>
  </si>
  <si>
    <t>Prepaid Expenses</t>
  </si>
  <si>
    <t>Group Health Insurance</t>
  </si>
  <si>
    <t>GST Receivables</t>
  </si>
  <si>
    <t>Sales Accounts</t>
  </si>
  <si>
    <t>Sale of Service - Exempted</t>
  </si>
  <si>
    <t>Sale of Services - Taxable</t>
  </si>
  <si>
    <t>Direct Expenses</t>
  </si>
  <si>
    <t>OT</t>
  </si>
  <si>
    <t>Bonus</t>
  </si>
  <si>
    <t>EPF- Employer Contribution</t>
  </si>
  <si>
    <t>Salary</t>
  </si>
  <si>
    <t>Indirect Incomes</t>
  </si>
  <si>
    <t>Discount Allowed</t>
  </si>
  <si>
    <t>Exchange Loss/Profit</t>
  </si>
  <si>
    <t>Indirect Expenses</t>
  </si>
  <si>
    <t>Professinal Charges</t>
  </si>
  <si>
    <t>Audit Fee</t>
  </si>
  <si>
    <t>Bank Charges</t>
  </si>
  <si>
    <t>Cloud Hosting Charges</t>
  </si>
  <si>
    <t>Conference Fee</t>
  </si>
  <si>
    <t>Courier Charges</t>
  </si>
  <si>
    <t>Domain Charges</t>
  </si>
  <si>
    <t>GST Interest &amp; Latefee</t>
  </si>
  <si>
    <t>Health Insurance</t>
  </si>
  <si>
    <t>Interest on TDS</t>
  </si>
  <si>
    <t>lodging and boarding charges</t>
  </si>
  <si>
    <t>Marketing Expeses</t>
  </si>
  <si>
    <t>Miscellaneous Expenses</t>
  </si>
  <si>
    <t>PF Admnistration Charges</t>
  </si>
  <si>
    <t>Printing &amp; Stationery</t>
  </si>
  <si>
    <t>Professional Tax</t>
  </si>
  <si>
    <t>Rates and Taxes</t>
  </si>
  <si>
    <t>Recruitment Charges</t>
  </si>
  <si>
    <t>Repairs and Mantainance</t>
  </si>
  <si>
    <t>Round Off</t>
  </si>
  <si>
    <t>Sales Promotion</t>
  </si>
  <si>
    <t>Software Expenses</t>
  </si>
  <si>
    <t>Staff welfare</t>
  </si>
  <si>
    <t>Subscription &amp; Membership</t>
  </si>
  <si>
    <t>Telephon Expenses</t>
  </si>
  <si>
    <t>Training Charges</t>
  </si>
  <si>
    <t>Traveling Expenses</t>
  </si>
  <si>
    <t>Vehical Maintenance</t>
  </si>
  <si>
    <t>Grand Total</t>
  </si>
  <si>
    <t>Notes forming part of the Financial Statements</t>
  </si>
  <si>
    <t>Less: Appropriation</t>
  </si>
  <si>
    <t>Less: Srinivas Rao Poladi - B1 Health</t>
  </si>
  <si>
    <t>Less: Srinivas Rao Poladi -  Sambhuthi</t>
  </si>
  <si>
    <t>Profit and Loss Account</t>
  </si>
  <si>
    <t>Current year surplus/(deficit)</t>
  </si>
  <si>
    <t>Long-term Borrowings</t>
  </si>
  <si>
    <t>Trade Payables</t>
  </si>
  <si>
    <t>Due to Micro and Small Enterprises</t>
  </si>
  <si>
    <t>Due to Others</t>
  </si>
  <si>
    <t>Opening balance adjustment / grouping difference</t>
  </si>
  <si>
    <t>Short-term Provisions and Statutory Liabilities</t>
  </si>
  <si>
    <t>Non-current Investments</t>
  </si>
  <si>
    <t>Non-current investments</t>
  </si>
  <si>
    <t>Deferred tax assets / liabilities (net)</t>
  </si>
  <si>
    <t>Deferred tax assets / liabilities</t>
  </si>
  <si>
    <t>Other Non-current Assets</t>
  </si>
  <si>
    <t>Other non-current assets</t>
  </si>
  <si>
    <t>Trade Receivables</t>
  </si>
  <si>
    <t>Cash and cash equivalents</t>
  </si>
  <si>
    <t>Inventories</t>
  </si>
  <si>
    <t>Other Current Assets</t>
  </si>
  <si>
    <t>Depreciation for the year</t>
  </si>
  <si>
    <t>Current Tax</t>
  </si>
  <si>
    <t>Deferred Tax</t>
  </si>
  <si>
    <t>Earnings Per Share</t>
  </si>
  <si>
    <t>Basic (In Rs)</t>
  </si>
  <si>
    <t>Diluted (In Rs)</t>
  </si>
  <si>
    <t>Balance Sheet Reconciliation Check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</si>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</sst>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;[Red]\(#,##0.00\);\-"/>
    <numFmt numFmtId="165" formatCode="dd\-mmm\-yy"/>
    <numFmt numFmtId="166" formatCode="_(* #,##0_);_(* \(#,##0\);_(* &quot;-&quot;??_);_(@_)"/>
  </numFmts>
  <fonts count="4">
    <font>
      <sz val="11"/>
      <name val="Carlito"/>
    </font>
    <font>
      <b/>
      <sz val="11"/>
      <name val="Carlito"/>
    </font>
    <font>
      <b/>
      <sz val="10"/>
      <name val="Calibri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1" fillId="0" borderId="2" xfId="0" applyFont="1" applyBorder="1" applyAlignment="1">
      <alignment horizontal="center" wrapText="1"/>
    </xf>
    <xf numFmtId="0" fontId="1" fillId="0" borderId="5" xfId="0" applyFont="1" applyBorder="1"/>
    <xf numFmtId="0" fontId="1" fillId="0" borderId="2" xfId="0" applyFont="1" applyBorder="1"/>
    <xf numFmtId="43" fontId="0" fillId="0" borderId="0" xfId="1" applyFont="1"/>
    <xf numFmtId="166" fontId="1" fillId="0" borderId="0" xfId="1" applyNumberFormat="1" applyFont="1" applyAlignment="1">
      <alignment horizontal="center" wrapText="1"/>
    </xf>
    <xf numFmtId="166" fontId="0" fillId="0" borderId="0" xfId="1" applyNumberFormat="1" applyFont="1"/>
    <xf numFmtId="166" fontId="1" fillId="0" borderId="0" xfId="1" applyNumberFormat="1" applyFont="1"/>
    <xf numFmtId="166" fontId="1" fillId="0" borderId="6" xfId="1" applyNumberFormat="1" applyFont="1" applyBorder="1"/>
    <xf numFmtId="165" fontId="0" fillId="0" borderId="6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3" xfId="0" applyFont="1" applyBorder="1"/>
    <xf numFmtId="0" fontId="0" fillId="0" borderId="14" xfId="0" applyBorder="1"/>
    <xf numFmtId="165" fontId="1" fillId="0" borderId="4" xfId="0" applyNumberFormat="1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3" xfId="0" applyFont="1" applyBorder="1"/>
    <xf numFmtId="165" fontId="1" fillId="0" borderId="3" xfId="0" applyNumberFormat="1" applyFont="1" applyBorder="1"/>
    <xf numFmtId="0" fontId="1" fillId="0" borderId="14" xfId="0" applyFont="1" applyBorder="1"/>
    <xf numFmtId="0" fontId="1" fillId="0" borderId="10" xfId="0" applyFont="1" applyBorder="1"/>
    <xf numFmtId="166" fontId="0" fillId="0" borderId="1" xfId="1" applyNumberFormat="1" applyFont="1" applyBorder="1"/>
    <xf numFmtId="166" fontId="1" fillId="0" borderId="1" xfId="1" applyNumberFormat="1" applyFont="1" applyBorder="1"/>
    <xf numFmtId="166" fontId="0" fillId="0" borderId="4" xfId="1" applyNumberFormat="1" applyFont="1" applyBorder="1"/>
    <xf numFmtId="166" fontId="1" fillId="0" borderId="4" xfId="1" applyNumberFormat="1" applyFont="1" applyBorder="1"/>
    <xf numFmtId="166" fontId="1" fillId="0" borderId="2" xfId="1" applyNumberFormat="1" applyFont="1" applyBorder="1"/>
    <xf numFmtId="166" fontId="0" fillId="0" borderId="7" xfId="1" applyNumberFormat="1" applyFont="1" applyBorder="1"/>
    <xf numFmtId="166" fontId="0" fillId="0" borderId="10" xfId="1" applyNumberFormat="1" applyFont="1" applyBorder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view="pageBreakPreview" zoomScale="85" zoomScaleNormal="100" zoomScaleSheetLayoutView="85" workbookViewId="0">
      <selection activeCell="G8" sqref="G8"/>
    </sheetView>
  </sheetViews>
  <sheetFormatPr defaultRowHeight="14"/>
  <cols>
    <col min="1" max="1" width="55" customWidth="1"/>
    <col min="2" max="2" width="5" customWidth="1"/>
    <col min="3" max="3" width="16" style="20" customWidth="1"/>
    <col min="4" max="4" width="16" customWidth="1"/>
  </cols>
  <sheetData>
    <row r="1" spans="1:4">
      <c r="A1" s="49" t="s">
        <v>0</v>
      </c>
      <c r="B1" s="49"/>
      <c r="C1" s="49"/>
      <c r="D1" s="9"/>
    </row>
    <row r="2" spans="1:4">
      <c r="A2" s="50" t="s">
        <v>1</v>
      </c>
      <c r="B2" s="50"/>
      <c r="C2" s="50"/>
      <c r="D2" s="7"/>
    </row>
    <row r="3" spans="1:4">
      <c r="A3" s="50" t="s">
        <v>2</v>
      </c>
      <c r="B3" s="50"/>
      <c r="C3" s="50"/>
      <c r="D3" s="7"/>
    </row>
    <row r="4" spans="1:4">
      <c r="A4" s="50" t="s">
        <v>43</v>
      </c>
      <c r="B4" s="50"/>
      <c r="C4" s="50"/>
      <c r="D4" s="7"/>
    </row>
    <row r="5" spans="1:4">
      <c r="A5" s="7" t="s">
        <v>3</v>
      </c>
      <c r="B5" s="7"/>
      <c r="C5" s="19"/>
      <c r="D5" s="7"/>
    </row>
    <row r="6" spans="1:4">
      <c r="A6" s="7"/>
      <c r="B6" s="7"/>
      <c r="C6" s="19"/>
      <c r="D6" s="8" t="s">
        <v>4</v>
      </c>
    </row>
    <row r="7" spans="1:4">
      <c r="A7" s="24" t="s">
        <v>5</v>
      </c>
      <c r="B7" s="24" t="s">
        <v>6</v>
      </c>
      <c r="C7" s="25">
        <v>46112</v>
      </c>
      <c r="D7" s="25">
        <v>45747</v>
      </c>
    </row>
    <row r="8" spans="1:4">
      <c r="A8" s="12"/>
      <c r="B8" s="12"/>
      <c r="C8" s="44"/>
      <c r="D8" s="12"/>
    </row>
    <row r="9" spans="1:4">
      <c r="A9" s="13" t="s">
        <v>7</v>
      </c>
      <c r="B9" s="13">
        <f>Notes!A223</f>
        <v>10</v>
      </c>
      <c r="C9" s="45">
        <f>Notes!$I$229</f>
        <v>56778956.420000002</v>
      </c>
      <c r="D9" s="13">
        <f>Notes!$J$229</f>
        <v>0</v>
      </c>
    </row>
    <row r="10" spans="1:4">
      <c r="A10" s="13" t="s">
        <v>8</v>
      </c>
      <c r="B10" s="13">
        <f>Notes!A232</f>
        <v>11</v>
      </c>
      <c r="C10" s="45">
        <f>Notes!$I$238</f>
        <v>198358.69</v>
      </c>
      <c r="D10" s="13">
        <f>Notes!$J$238</f>
        <v>0</v>
      </c>
    </row>
    <row r="11" spans="1:4">
      <c r="A11" s="17" t="s">
        <v>9</v>
      </c>
      <c r="B11" s="17"/>
      <c r="C11" s="46">
        <f>SUM(C9:C10)</f>
        <v>56977315.109999999</v>
      </c>
      <c r="D11" s="17">
        <f>SUM(D9:D10)</f>
        <v>0</v>
      </c>
    </row>
    <row r="12" spans="1:4">
      <c r="A12" s="12"/>
      <c r="B12" s="12"/>
      <c r="C12" s="44"/>
      <c r="D12" s="12"/>
    </row>
    <row r="13" spans="1:4">
      <c r="A13" s="13" t="s">
        <v>10</v>
      </c>
      <c r="B13" s="13"/>
      <c r="C13" s="45"/>
      <c r="D13" s="13"/>
    </row>
    <row r="14" spans="1:4">
      <c r="A14" s="13" t="s">
        <v>11</v>
      </c>
      <c r="B14" s="13">
        <f>Notes!A241</f>
        <v>12</v>
      </c>
      <c r="C14" s="45">
        <f>Notes!$I$249</f>
        <v>40189768.350000001</v>
      </c>
      <c r="D14" s="13">
        <f>Notes!$J$249</f>
        <v>0</v>
      </c>
    </row>
    <row r="15" spans="1:4">
      <c r="A15" s="13" t="s">
        <v>12</v>
      </c>
      <c r="B15" s="13">
        <f>Notes!A252</f>
        <v>13</v>
      </c>
      <c r="C15" s="45">
        <f>Notes!$I$257</f>
        <v>27071.620000000003</v>
      </c>
      <c r="D15" s="13">
        <f>Notes!$J$257</f>
        <v>0</v>
      </c>
    </row>
    <row r="16" spans="1:4">
      <c r="A16" s="13" t="s">
        <v>13</v>
      </c>
      <c r="B16" s="13">
        <f>Notes!A260</f>
        <v>14</v>
      </c>
      <c r="C16" s="45">
        <f>Notes!$I$265</f>
        <v>0</v>
      </c>
      <c r="D16" s="13">
        <f>Notes!$J$265</f>
        <v>0</v>
      </c>
    </row>
    <row r="17" spans="1:4">
      <c r="A17" s="13" t="s">
        <v>14</v>
      </c>
      <c r="B17" s="13">
        <f>Notes!A268</f>
        <v>15</v>
      </c>
      <c r="C17" s="45">
        <f>Notes!$I$299</f>
        <v>10177873.859999999</v>
      </c>
      <c r="D17" s="13">
        <f>Notes!$J$299</f>
        <v>0</v>
      </c>
    </row>
    <row r="18" spans="1:4">
      <c r="A18" s="17" t="s">
        <v>15</v>
      </c>
      <c r="B18" s="17"/>
      <c r="C18" s="46">
        <f>SUM(C14:C17)</f>
        <v>50394713.829999998</v>
      </c>
      <c r="D18" s="17">
        <f>SUM(D14:D17)</f>
        <v>0</v>
      </c>
    </row>
    <row r="19" spans="1:4">
      <c r="A19" s="12"/>
      <c r="B19" s="12"/>
      <c r="C19" s="44"/>
      <c r="D19" s="12"/>
    </row>
    <row r="20" spans="1:4">
      <c r="A20" s="13" t="s">
        <v>16</v>
      </c>
      <c r="B20" s="13"/>
      <c r="C20" s="45">
        <f>C11-C18</f>
        <v>6582601.2800000012</v>
      </c>
      <c r="D20" s="13">
        <f>D11-D18</f>
        <v>0</v>
      </c>
    </row>
    <row r="21" spans="1:4">
      <c r="A21" s="13" t="s">
        <v>17</v>
      </c>
      <c r="B21" s="13"/>
      <c r="C21" s="45">
        <v>0</v>
      </c>
      <c r="D21" s="13">
        <v>0</v>
      </c>
    </row>
    <row r="22" spans="1:4">
      <c r="A22" s="13" t="s">
        <v>18</v>
      </c>
      <c r="B22" s="13"/>
      <c r="C22" s="45">
        <f>C20-C21</f>
        <v>6582601.2800000012</v>
      </c>
      <c r="D22" s="13">
        <f>D20-D21</f>
        <v>0</v>
      </c>
    </row>
    <row r="23" spans="1:4">
      <c r="A23" s="13" t="s">
        <v>19</v>
      </c>
      <c r="B23" s="13"/>
      <c r="C23" s="45">
        <v>0</v>
      </c>
      <c r="D23" s="13">
        <v>0</v>
      </c>
    </row>
    <row r="24" spans="1:4">
      <c r="A24" s="13" t="s">
        <v>20</v>
      </c>
      <c r="B24" s="13"/>
      <c r="C24" s="45">
        <f>C22-C23</f>
        <v>6582601.2800000012</v>
      </c>
      <c r="D24" s="13">
        <f>D22-D23</f>
        <v>0</v>
      </c>
    </row>
    <row r="25" spans="1:4">
      <c r="A25" s="13" t="s">
        <v>21</v>
      </c>
      <c r="B25" s="13">
        <f>Notes!A302</f>
        <v>16</v>
      </c>
      <c r="C25" s="45"/>
      <c r="D25" s="13"/>
    </row>
    <row r="26" spans="1:4">
      <c r="A26" s="13" t="s">
        <v>22</v>
      </c>
      <c r="B26" s="13"/>
      <c r="C26" s="45">
        <f>Notes!$I$305</f>
        <v>0</v>
      </c>
      <c r="D26" s="13">
        <f>Notes!$J$305</f>
        <v>0</v>
      </c>
    </row>
    <row r="27" spans="1:4">
      <c r="A27" s="13" t="s">
        <v>23</v>
      </c>
      <c r="B27" s="13"/>
      <c r="C27" s="45">
        <f>Notes!$I$306</f>
        <v>0</v>
      </c>
      <c r="D27" s="13">
        <f>Notes!$J$306</f>
        <v>0</v>
      </c>
    </row>
    <row r="28" spans="1:4">
      <c r="A28" s="17" t="s">
        <v>24</v>
      </c>
      <c r="B28" s="17"/>
      <c r="C28" s="46">
        <f>C24-C26-C27</f>
        <v>6582601.2800000012</v>
      </c>
      <c r="D28" s="17">
        <f>D24-D26-D27</f>
        <v>0</v>
      </c>
    </row>
    <row r="29" spans="1:4">
      <c r="A29" s="26" t="s">
        <v>25</v>
      </c>
      <c r="B29" s="26"/>
      <c r="C29" s="47"/>
      <c r="D29" s="27"/>
    </row>
    <row r="30" spans="1:4">
      <c r="A30" s="12" t="s">
        <v>26</v>
      </c>
      <c r="B30" s="12"/>
      <c r="C30" s="42"/>
      <c r="D30" s="28"/>
    </row>
    <row r="31" spans="1:4">
      <c r="A31" s="14" t="s">
        <v>27</v>
      </c>
      <c r="B31" s="14"/>
      <c r="C31" s="48"/>
      <c r="D31" s="30"/>
    </row>
    <row r="32" spans="1:4">
      <c r="A32" s="31"/>
    </row>
    <row r="33" spans="1:4">
      <c r="A33" s="32" t="s">
        <v>28</v>
      </c>
    </row>
    <row r="34" spans="1:4">
      <c r="A34" s="32"/>
    </row>
    <row r="35" spans="1:4">
      <c r="A35" s="33" t="s">
        <v>29</v>
      </c>
      <c r="B35" s="2"/>
      <c r="C35" s="21"/>
      <c r="D35" s="2" t="s">
        <v>30</v>
      </c>
    </row>
    <row r="36" spans="1:4">
      <c r="A36" s="33" t="s">
        <v>31</v>
      </c>
      <c r="B36" s="2"/>
      <c r="C36" s="21"/>
      <c r="D36" s="2" t="s">
        <v>0</v>
      </c>
    </row>
    <row r="37" spans="1:4">
      <c r="A37" s="33" t="s">
        <v>32</v>
      </c>
      <c r="B37" s="2"/>
      <c r="C37" s="21"/>
      <c r="D37" s="2"/>
    </row>
    <row r="38" spans="1:4">
      <c r="A38" s="32" t="s">
        <v>33</v>
      </c>
    </row>
    <row r="39" spans="1:4">
      <c r="A39" s="32"/>
    </row>
    <row r="40" spans="1:4">
      <c r="A40" s="32"/>
    </row>
    <row r="41" spans="1:4">
      <c r="A41" s="32"/>
    </row>
    <row r="42" spans="1:4">
      <c r="A42" s="33" t="s">
        <v>34</v>
      </c>
      <c r="B42" s="2" t="s">
        <v>35</v>
      </c>
      <c r="C42" s="21"/>
      <c r="D42" s="2" t="s">
        <v>36</v>
      </c>
    </row>
    <row r="43" spans="1:4">
      <c r="A43" s="33" t="s">
        <v>37</v>
      </c>
      <c r="B43" s="2" t="s">
        <v>38</v>
      </c>
      <c r="C43" s="21"/>
      <c r="D43" s="2" t="s">
        <v>36</v>
      </c>
    </row>
    <row r="44" spans="1:4">
      <c r="A44" s="33" t="s">
        <v>39</v>
      </c>
      <c r="B44" s="2"/>
      <c r="C44" s="21"/>
      <c r="D44" s="2" t="s">
        <v>36</v>
      </c>
    </row>
    <row r="45" spans="1:4">
      <c r="A45" s="32" t="s">
        <v>40</v>
      </c>
    </row>
    <row r="46" spans="1:4">
      <c r="A46" s="32" t="s">
        <v>41</v>
      </c>
      <c r="D46" t="s">
        <v>41</v>
      </c>
    </row>
    <row r="47" spans="1:4">
      <c r="A47" s="34" t="s">
        <v>42</v>
      </c>
      <c r="D47" t="s">
        <v>42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showGridLines="0" view="pageBreakPreview" zoomScaleNormal="100" zoomScaleSheetLayoutView="100" workbookViewId="0">
      <selection activeCell="F5" sqref="F5"/>
    </sheetView>
  </sheetViews>
  <sheetFormatPr defaultRowHeight="14"/>
  <cols>
    <col min="1" max="1" width="48.58203125" customWidth="1"/>
    <col min="2" max="2" width="7.4140625" customWidth="1"/>
    <col min="3" max="3" width="11.4140625" style="20" bestFit="1" customWidth="1"/>
    <col min="4" max="4" width="15.6640625" style="20" bestFit="1" customWidth="1"/>
    <col min="5" max="5" width="13.08203125" bestFit="1" customWidth="1"/>
  </cols>
  <sheetData>
    <row r="1" spans="1:5">
      <c r="A1" s="49" t="s">
        <v>0</v>
      </c>
      <c r="B1" s="49"/>
      <c r="C1" s="49"/>
      <c r="D1" s="49"/>
    </row>
    <row r="2" spans="1:5" ht="11" customHeight="1">
      <c r="A2" s="50" t="s">
        <v>1</v>
      </c>
      <c r="B2" s="50"/>
      <c r="C2" s="50"/>
      <c r="D2" s="50"/>
    </row>
    <row r="3" spans="1:5" ht="29" customHeight="1">
      <c r="A3" s="50" t="s">
        <v>2</v>
      </c>
      <c r="B3" s="50"/>
      <c r="C3" s="50"/>
      <c r="D3" s="50"/>
    </row>
    <row r="4" spans="1:5">
      <c r="A4" s="50" t="s">
        <v>43</v>
      </c>
      <c r="B4" s="50"/>
      <c r="C4" s="50"/>
      <c r="D4" s="50"/>
    </row>
    <row r="5" spans="1:5">
      <c r="A5" s="7"/>
      <c r="B5" s="7"/>
      <c r="C5" s="19"/>
      <c r="D5" s="19" t="s">
        <v>4</v>
      </c>
    </row>
    <row r="6" spans="1:5">
      <c r="A6" s="15" t="s">
        <v>5</v>
      </c>
      <c r="B6" s="15" t="s">
        <v>6</v>
      </c>
      <c r="C6" s="25">
        <v>46112</v>
      </c>
      <c r="D6" s="23">
        <v>45747</v>
      </c>
    </row>
    <row r="7" spans="1:5">
      <c r="A7" s="12"/>
      <c r="B7" s="12"/>
      <c r="C7" s="44"/>
      <c r="D7" s="42"/>
    </row>
    <row r="8" spans="1:5">
      <c r="A8" s="13" t="s">
        <v>44</v>
      </c>
      <c r="B8" s="13"/>
      <c r="C8" s="45"/>
      <c r="D8" s="43"/>
    </row>
    <row r="9" spans="1:5">
      <c r="A9" s="13" t="s">
        <v>45</v>
      </c>
      <c r="B9" s="13"/>
      <c r="C9" s="45"/>
      <c r="D9" s="43"/>
    </row>
    <row r="10" spans="1:5">
      <c r="A10" s="13" t="s">
        <v>46</v>
      </c>
      <c r="B10" s="13">
        <f>Notes!A6</f>
        <v>1</v>
      </c>
      <c r="C10" s="45">
        <f>Notes!$I$15</f>
        <v>-6761000.3700000001</v>
      </c>
      <c r="D10" s="43">
        <f>Notes!$J$15</f>
        <v>0</v>
      </c>
    </row>
    <row r="11" spans="1:5">
      <c r="A11" s="13" t="s">
        <v>47</v>
      </c>
      <c r="B11" s="13">
        <f>Notes!A18</f>
        <v>2</v>
      </c>
      <c r="C11" s="45">
        <f>Notes!$I$23</f>
        <v>6582601.2800000012</v>
      </c>
      <c r="D11" s="43">
        <f>Notes!$J$23</f>
        <v>0</v>
      </c>
    </row>
    <row r="12" spans="1:5">
      <c r="A12" s="17" t="s">
        <v>48</v>
      </c>
      <c r="B12" s="17"/>
      <c r="C12" s="46">
        <f>SUM(C10:C11)</f>
        <v>-178399.08999999892</v>
      </c>
      <c r="D12" s="22">
        <f>SUM(D10:D11)</f>
        <v>0</v>
      </c>
      <c r="E12">
        <v>218775</v>
      </c>
    </row>
    <row r="13" spans="1:5">
      <c r="A13" s="12"/>
      <c r="B13" s="12"/>
      <c r="C13" s="44"/>
      <c r="D13" s="42"/>
    </row>
    <row r="14" spans="1:5">
      <c r="A14" s="13" t="s">
        <v>49</v>
      </c>
      <c r="B14" s="13"/>
      <c r="C14" s="45"/>
      <c r="D14" s="43"/>
    </row>
    <row r="15" spans="1:5">
      <c r="A15" s="13" t="s">
        <v>50</v>
      </c>
      <c r="B15" s="13">
        <f>Notes!A26</f>
        <v>3</v>
      </c>
      <c r="C15" s="45">
        <f>Notes!$I$31</f>
        <v>5100000</v>
      </c>
      <c r="D15" s="43">
        <f>Notes!$J$31</f>
        <v>0</v>
      </c>
    </row>
    <row r="16" spans="1:5">
      <c r="A16" s="17" t="s">
        <v>48</v>
      </c>
      <c r="B16" s="17"/>
      <c r="C16" s="46">
        <f>SUM(C15:C15)</f>
        <v>5100000</v>
      </c>
      <c r="D16" s="22">
        <f>SUM(D15:D15)</f>
        <v>0</v>
      </c>
    </row>
    <row r="17" spans="1:4">
      <c r="A17" s="12"/>
      <c r="B17" s="12"/>
      <c r="C17" s="44"/>
      <c r="D17" s="42"/>
    </row>
    <row r="18" spans="1:4">
      <c r="A18" s="13" t="s">
        <v>51</v>
      </c>
      <c r="B18" s="13"/>
      <c r="C18" s="45"/>
      <c r="D18" s="43"/>
    </row>
    <row r="19" spans="1:4">
      <c r="A19" s="13" t="s">
        <v>52</v>
      </c>
      <c r="B19" s="13">
        <f>Notes!A34</f>
        <v>4</v>
      </c>
      <c r="C19" s="45"/>
      <c r="D19" s="43"/>
    </row>
    <row r="20" spans="1:4">
      <c r="A20" s="13" t="s">
        <v>53</v>
      </c>
      <c r="B20" s="13"/>
      <c r="C20" s="45">
        <v>0</v>
      </c>
      <c r="D20" s="43">
        <v>0</v>
      </c>
    </row>
    <row r="21" spans="1:4">
      <c r="A21" s="13" t="s">
        <v>54</v>
      </c>
      <c r="B21" s="13"/>
      <c r="C21" s="45">
        <f>Notes!$I$84</f>
        <v>523219.08999999997</v>
      </c>
      <c r="D21" s="43">
        <f>Notes!$J$84</f>
        <v>0</v>
      </c>
    </row>
    <row r="22" spans="1:4">
      <c r="A22" s="13" t="s">
        <v>55</v>
      </c>
      <c r="B22" s="13">
        <f>Notes!A87</f>
        <v>5</v>
      </c>
      <c r="C22" s="45">
        <f>Notes!$I$141</f>
        <v>6149763.8399999999</v>
      </c>
      <c r="D22" s="43">
        <f>Notes!$J$141</f>
        <v>0</v>
      </c>
    </row>
    <row r="23" spans="1:4">
      <c r="A23" s="13" t="s">
        <v>48</v>
      </c>
      <c r="B23" s="13"/>
      <c r="C23" s="45">
        <f>SUM(C20:C22)</f>
        <v>6672982.9299999997</v>
      </c>
      <c r="D23" s="43">
        <f>SUM(D20:D22)</f>
        <v>0</v>
      </c>
    </row>
    <row r="24" spans="1:4">
      <c r="A24" s="17" t="s">
        <v>56</v>
      </c>
      <c r="B24" s="17"/>
      <c r="C24" s="46">
        <f>SUM(C12,C16,C23)</f>
        <v>11594583.84</v>
      </c>
      <c r="D24" s="22">
        <f>SUM(D12,D16,D23)</f>
        <v>0</v>
      </c>
    </row>
    <row r="25" spans="1:4">
      <c r="A25" s="12"/>
      <c r="B25" s="12"/>
      <c r="C25" s="44"/>
      <c r="D25" s="42"/>
    </row>
    <row r="26" spans="1:4">
      <c r="A26" s="13" t="s">
        <v>57</v>
      </c>
      <c r="B26" s="13"/>
      <c r="C26" s="45"/>
      <c r="D26" s="43"/>
    </row>
    <row r="27" spans="1:4">
      <c r="A27" s="13" t="s">
        <v>58</v>
      </c>
      <c r="B27" s="13"/>
      <c r="C27" s="45"/>
      <c r="D27" s="43"/>
    </row>
    <row r="28" spans="1:4">
      <c r="A28" s="13" t="s">
        <v>59</v>
      </c>
      <c r="B28" s="13"/>
      <c r="C28" s="45"/>
      <c r="D28" s="43"/>
    </row>
    <row r="29" spans="1:4">
      <c r="A29" s="13" t="s">
        <v>60</v>
      </c>
      <c r="B29" s="13">
        <f>Notes!A144</f>
        <v>6</v>
      </c>
      <c r="C29" s="45">
        <f>Notes!$I$149</f>
        <v>1234104.92</v>
      </c>
      <c r="D29" s="43">
        <f>Notes!$J$149</f>
        <v>0</v>
      </c>
    </row>
    <row r="30" spans="1:4">
      <c r="A30" s="13" t="s">
        <v>61</v>
      </c>
      <c r="B30" s="13"/>
      <c r="C30" s="45">
        <f>Notes!$I$157</f>
        <v>0</v>
      </c>
      <c r="D30" s="43">
        <f>Notes!$J$157</f>
        <v>0</v>
      </c>
    </row>
    <row r="31" spans="1:4">
      <c r="A31" s="13" t="s">
        <v>62</v>
      </c>
      <c r="B31" s="13"/>
      <c r="C31" s="45">
        <f>Notes!$I$165</f>
        <v>0</v>
      </c>
      <c r="D31" s="43">
        <f>Notes!$J$165</f>
        <v>0</v>
      </c>
    </row>
    <row r="32" spans="1:4">
      <c r="A32" s="13" t="s">
        <v>63</v>
      </c>
      <c r="B32" s="13"/>
      <c r="C32" s="45">
        <f>Notes!$I$173</f>
        <v>0</v>
      </c>
      <c r="D32" s="43">
        <f>Notes!$J$173</f>
        <v>0</v>
      </c>
    </row>
    <row r="33" spans="1:5">
      <c r="A33" s="17" t="s">
        <v>48</v>
      </c>
      <c r="B33" s="17"/>
      <c r="C33" s="46">
        <f>SUM(C29:C32)</f>
        <v>1234104.92</v>
      </c>
      <c r="D33" s="22">
        <f>SUM(D29:D32)</f>
        <v>0</v>
      </c>
    </row>
    <row r="34" spans="1:5">
      <c r="A34" s="12"/>
      <c r="B34" s="12"/>
      <c r="C34" s="44"/>
      <c r="D34" s="42"/>
    </row>
    <row r="35" spans="1:5">
      <c r="A35" s="13" t="s">
        <v>64</v>
      </c>
      <c r="B35" s="13"/>
      <c r="C35" s="45"/>
      <c r="D35" s="43"/>
    </row>
    <row r="36" spans="1:5">
      <c r="A36" s="13" t="s">
        <v>65</v>
      </c>
      <c r="B36" s="13">
        <v>12</v>
      </c>
      <c r="C36" s="45">
        <f>Notes!$I$195</f>
        <v>9813353.9399999995</v>
      </c>
      <c r="D36" s="43">
        <f>Notes!$J$195</f>
        <v>0</v>
      </c>
    </row>
    <row r="37" spans="1:5">
      <c r="A37" s="13" t="s">
        <v>66</v>
      </c>
      <c r="B37" s="13">
        <v>13</v>
      </c>
      <c r="C37" s="45">
        <f>Notes!$I$203</f>
        <v>150192.98000000001</v>
      </c>
      <c r="D37" s="43">
        <f>Notes!$J$203</f>
        <v>0</v>
      </c>
    </row>
    <row r="38" spans="1:5">
      <c r="A38" s="13" t="s">
        <v>67</v>
      </c>
      <c r="B38" s="13">
        <v>14</v>
      </c>
      <c r="C38" s="45">
        <f>Notes!$I$211</f>
        <v>0</v>
      </c>
      <c r="D38" s="43">
        <f>Notes!$J$211</f>
        <v>0</v>
      </c>
    </row>
    <row r="39" spans="1:5">
      <c r="A39" s="13" t="s">
        <v>68</v>
      </c>
      <c r="B39" s="13">
        <v>15</v>
      </c>
      <c r="C39" s="45">
        <f>Notes!$I$220</f>
        <v>396932</v>
      </c>
      <c r="D39" s="43">
        <f>Notes!$J$220</f>
        <v>0</v>
      </c>
    </row>
    <row r="40" spans="1:5">
      <c r="A40" s="13" t="s">
        <v>48</v>
      </c>
      <c r="B40" s="13"/>
      <c r="C40" s="45">
        <f>SUM(C36:C39)</f>
        <v>10360478.92</v>
      </c>
      <c r="D40" s="43">
        <f>SUM(D36:D39)</f>
        <v>0</v>
      </c>
    </row>
    <row r="41" spans="1:5">
      <c r="A41" s="13"/>
      <c r="B41" s="13"/>
      <c r="C41" s="45"/>
      <c r="D41" s="43"/>
    </row>
    <row r="42" spans="1:5">
      <c r="A42" s="17" t="s">
        <v>69</v>
      </c>
      <c r="B42" s="17"/>
      <c r="C42" s="46">
        <f>SUM(C33,C40)</f>
        <v>11594583.84</v>
      </c>
      <c r="D42" s="22">
        <f>SUM(D33,D40)</f>
        <v>0</v>
      </c>
      <c r="E42" s="18">
        <f>C42-C24</f>
        <v>0</v>
      </c>
    </row>
    <row r="43" spans="1:5">
      <c r="A43" s="31"/>
    </row>
    <row r="44" spans="1:5">
      <c r="A44" s="32" t="s">
        <v>28</v>
      </c>
    </row>
    <row r="45" spans="1:5">
      <c r="A45" s="32"/>
    </row>
    <row r="46" spans="1:5">
      <c r="A46" s="33" t="s">
        <v>29</v>
      </c>
      <c r="B46" s="2"/>
      <c r="C46" s="21"/>
      <c r="D46" s="21"/>
    </row>
    <row r="47" spans="1:5">
      <c r="A47" s="33" t="s">
        <v>31</v>
      </c>
      <c r="B47" s="2" t="s">
        <v>30</v>
      </c>
      <c r="C47" s="21"/>
      <c r="D47" s="21"/>
    </row>
    <row r="48" spans="1:5">
      <c r="A48" s="33" t="s">
        <v>32</v>
      </c>
      <c r="B48" s="2" t="s">
        <v>0</v>
      </c>
      <c r="C48" s="21"/>
      <c r="D48" s="21"/>
    </row>
    <row r="49" spans="1:4">
      <c r="A49" s="32" t="s">
        <v>33</v>
      </c>
    </row>
    <row r="50" spans="1:4">
      <c r="A50" s="32"/>
    </row>
    <row r="51" spans="1:4">
      <c r="A51" s="32"/>
    </row>
    <row r="52" spans="1:4">
      <c r="A52" s="32"/>
    </row>
    <row r="53" spans="1:4">
      <c r="A53" s="33" t="s">
        <v>34</v>
      </c>
      <c r="B53" s="2" t="s">
        <v>35</v>
      </c>
      <c r="C53" s="21"/>
      <c r="D53" s="21" t="s">
        <v>36</v>
      </c>
    </row>
    <row r="54" spans="1:4">
      <c r="A54" s="33" t="s">
        <v>37</v>
      </c>
      <c r="B54" s="2" t="s">
        <v>38</v>
      </c>
      <c r="C54" s="21"/>
      <c r="D54" s="21" t="s">
        <v>36</v>
      </c>
    </row>
    <row r="55" spans="1:4">
      <c r="A55" s="33" t="s">
        <v>39</v>
      </c>
      <c r="B55" s="2"/>
      <c r="C55" s="21"/>
      <c r="D55" s="21" t="s">
        <v>36</v>
      </c>
    </row>
    <row r="56" spans="1:4">
      <c r="A56" s="32" t="s">
        <v>40</v>
      </c>
    </row>
    <row r="57" spans="1:4">
      <c r="A57" s="32" t="s">
        <v>41</v>
      </c>
      <c r="D57" s="20" t="s">
        <v>41</v>
      </c>
    </row>
    <row r="58" spans="1:4">
      <c r="A58" s="34" t="s">
        <v>42</v>
      </c>
      <c r="D58" s="20" t="s">
        <v>42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B10" sqref="B10"/>
    </sheetView>
  </sheetViews>
  <sheetFormatPr defaultRowHeight="14"/>
  <cols>
    <col min="2" max="2" width="32" customWidth="1"/>
    <col min="3" max="12" width="14" customWidth="1"/>
  </cols>
  <sheetData>
    <row r="1" spans="1:12">
      <c r="A1" s="6"/>
      <c r="B1" s="6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4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 t="s">
        <v>70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 t="s">
        <v>71</v>
      </c>
      <c r="C6" s="4"/>
      <c r="D6" s="4"/>
      <c r="E6" s="4"/>
      <c r="F6" s="4"/>
      <c r="G6" s="4"/>
      <c r="H6" s="4"/>
      <c r="I6" s="4"/>
      <c r="J6" s="4"/>
      <c r="K6" s="4"/>
      <c r="L6" s="4" t="s">
        <v>4</v>
      </c>
    </row>
    <row r="7" spans="1:12">
      <c r="A7" s="4"/>
      <c r="B7" s="4" t="s">
        <v>72</v>
      </c>
      <c r="C7" s="4" t="s">
        <v>73</v>
      </c>
      <c r="D7" s="4"/>
      <c r="E7" s="4"/>
      <c r="F7" s="4"/>
      <c r="G7" s="4" t="s">
        <v>74</v>
      </c>
      <c r="H7" s="4"/>
      <c r="I7" s="4"/>
      <c r="J7" s="4"/>
      <c r="K7" s="4" t="s">
        <v>75</v>
      </c>
      <c r="L7" s="4" t="s">
        <v>75</v>
      </c>
    </row>
    <row r="8" spans="1:12">
      <c r="A8" s="4"/>
      <c r="B8" s="4"/>
      <c r="C8" s="4" t="s">
        <v>76</v>
      </c>
      <c r="D8" s="4" t="s">
        <v>77</v>
      </c>
      <c r="E8" s="4" t="s">
        <v>78</v>
      </c>
      <c r="F8" s="4" t="s">
        <v>76</v>
      </c>
      <c r="G8" s="4" t="s">
        <v>76</v>
      </c>
      <c r="H8" s="4" t="s">
        <v>79</v>
      </c>
      <c r="I8" s="4" t="s">
        <v>78</v>
      </c>
      <c r="J8" s="4" t="s">
        <v>76</v>
      </c>
      <c r="K8" s="4" t="s">
        <v>76</v>
      </c>
      <c r="L8" s="4" t="s">
        <v>76</v>
      </c>
    </row>
    <row r="9" spans="1:12">
      <c r="A9" s="4"/>
      <c r="B9" s="4"/>
      <c r="C9" s="11">
        <v>45747</v>
      </c>
      <c r="D9" s="11"/>
      <c r="E9" s="11"/>
      <c r="F9" s="11">
        <v>46112</v>
      </c>
      <c r="G9" s="11">
        <v>45747</v>
      </c>
      <c r="H9" s="11" t="s">
        <v>80</v>
      </c>
      <c r="I9" s="11"/>
      <c r="J9" s="11">
        <v>46112</v>
      </c>
      <c r="K9" s="11">
        <v>46112</v>
      </c>
      <c r="L9" s="11">
        <v>45747</v>
      </c>
    </row>
    <row r="10" spans="1:12">
      <c r="B10" t="s">
        <v>60</v>
      </c>
    </row>
    <row r="12" spans="1:12">
      <c r="B12" t="s">
        <v>81</v>
      </c>
      <c r="C12">
        <f>TB!$B$116</f>
        <v>902257.32</v>
      </c>
      <c r="D12">
        <f>TB!$C$116</f>
        <v>84000</v>
      </c>
      <c r="E12">
        <f>TB!$D$116</f>
        <v>0</v>
      </c>
      <c r="F12">
        <f>C12+D12-E12</f>
        <v>986257.32</v>
      </c>
      <c r="G12">
        <f>0</f>
        <v>0</v>
      </c>
      <c r="H12">
        <v>0</v>
      </c>
      <c r="I12">
        <f>0</f>
        <v>0</v>
      </c>
      <c r="J12">
        <f>G12+H12-I12</f>
        <v>0</v>
      </c>
      <c r="K12">
        <f>F12-J12</f>
        <v>986257.32</v>
      </c>
      <c r="L12">
        <f>C12-G12</f>
        <v>902257.32</v>
      </c>
    </row>
    <row r="13" spans="1:12">
      <c r="B13" t="s">
        <v>82</v>
      </c>
      <c r="C13">
        <f>TB!$B$117</f>
        <v>37201</v>
      </c>
      <c r="D13">
        <f>TB!$C$117</f>
        <v>0</v>
      </c>
      <c r="E13">
        <f>TB!$D$117</f>
        <v>0</v>
      </c>
      <c r="F13">
        <f>C13+D13-E13</f>
        <v>37201</v>
      </c>
      <c r="G13">
        <f>0</f>
        <v>0</v>
      </c>
      <c r="H13">
        <v>0</v>
      </c>
      <c r="I13">
        <f>0</f>
        <v>0</v>
      </c>
      <c r="J13">
        <f>G13+H13-I13</f>
        <v>0</v>
      </c>
      <c r="K13">
        <f>F13-J13</f>
        <v>37201</v>
      </c>
      <c r="L13">
        <f>C13-G13</f>
        <v>37201</v>
      </c>
    </row>
    <row r="14" spans="1:12">
      <c r="B14" t="s">
        <v>83</v>
      </c>
      <c r="C14">
        <f>TB!$B$118</f>
        <v>39683.599999999999</v>
      </c>
      <c r="D14">
        <f>TB!$C$118</f>
        <v>0</v>
      </c>
      <c r="E14">
        <f>TB!$D$118</f>
        <v>0</v>
      </c>
      <c r="F14">
        <f>C14+D14-E14</f>
        <v>39683.599999999999</v>
      </c>
      <c r="G14">
        <f>0</f>
        <v>0</v>
      </c>
      <c r="H14">
        <v>0</v>
      </c>
      <c r="I14">
        <f>0</f>
        <v>0</v>
      </c>
      <c r="J14">
        <f>G14+H14-I14</f>
        <v>0</v>
      </c>
      <c r="K14">
        <f>F14-J14</f>
        <v>39683.599999999999</v>
      </c>
      <c r="L14">
        <f>C14-G14</f>
        <v>39683.599999999999</v>
      </c>
    </row>
    <row r="15" spans="1:12">
      <c r="B15" t="s">
        <v>84</v>
      </c>
      <c r="C15">
        <f>TB!$B$119</f>
        <v>170963</v>
      </c>
      <c r="D15">
        <f>TB!$C$119</f>
        <v>0</v>
      </c>
      <c r="E15">
        <f>TB!$D$119</f>
        <v>0</v>
      </c>
      <c r="F15">
        <f>C15+D15-E15</f>
        <v>170963</v>
      </c>
      <c r="G15">
        <f>0</f>
        <v>0</v>
      </c>
      <c r="H15">
        <v>0</v>
      </c>
      <c r="I15">
        <f>0</f>
        <v>0</v>
      </c>
      <c r="J15">
        <f>G15+H15-I15</f>
        <v>0</v>
      </c>
      <c r="K15">
        <f>F15-J15</f>
        <v>170963</v>
      </c>
      <c r="L15">
        <f>C15-G15</f>
        <v>170963</v>
      </c>
    </row>
    <row r="16" spans="1:12">
      <c r="B16" s="2" t="s">
        <v>48</v>
      </c>
      <c r="C16" s="2">
        <f t="shared" ref="C16:L16" si="0">SUM(C12:C15)</f>
        <v>1150104.92</v>
      </c>
      <c r="D16" s="2">
        <f t="shared" si="0"/>
        <v>84000</v>
      </c>
      <c r="E16" s="2">
        <f t="shared" si="0"/>
        <v>0</v>
      </c>
      <c r="F16" s="2">
        <f t="shared" si="0"/>
        <v>1234104.92</v>
      </c>
      <c r="G16" s="2">
        <f t="shared" si="0"/>
        <v>0</v>
      </c>
      <c r="H16" s="2">
        <f t="shared" si="0"/>
        <v>0</v>
      </c>
      <c r="I16" s="2">
        <f t="shared" si="0"/>
        <v>0</v>
      </c>
      <c r="J16" s="2">
        <f t="shared" si="0"/>
        <v>0</v>
      </c>
      <c r="K16" s="2">
        <f t="shared" si="0"/>
        <v>1234104.92</v>
      </c>
      <c r="L16" s="2">
        <f t="shared" si="0"/>
        <v>1150104.92</v>
      </c>
    </row>
    <row r="17" spans="2:2">
      <c r="B17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4"/>
  <sheetViews>
    <sheetView workbookViewId="0">
      <selection activeCell="B1" sqref="B1"/>
    </sheetView>
  </sheetViews>
  <sheetFormatPr defaultRowHeight="14"/>
  <cols>
    <col min="1" max="1" width="45" customWidth="1"/>
    <col min="2" max="5" width="16" customWidth="1"/>
  </cols>
  <sheetData>
    <row r="1" spans="1:5">
      <c r="A1" s="2" t="s">
        <v>86</v>
      </c>
      <c r="B1" s="2"/>
      <c r="C1" s="2"/>
      <c r="D1" s="2"/>
      <c r="E1" s="2"/>
    </row>
    <row r="2" spans="1:5">
      <c r="A2" t="s">
        <v>87</v>
      </c>
    </row>
    <row r="3" spans="1:5">
      <c r="A3" t="s">
        <v>88</v>
      </c>
    </row>
    <row r="4" spans="1:5">
      <c r="A4" t="s">
        <v>89</v>
      </c>
    </row>
    <row r="5" spans="1:5">
      <c r="A5" t="s">
        <v>90</v>
      </c>
    </row>
    <row r="6" spans="1:5">
      <c r="A6" t="s">
        <v>91</v>
      </c>
    </row>
    <row r="7" spans="1:5">
      <c r="A7" t="s">
        <v>92</v>
      </c>
    </row>
    <row r="8" spans="1:5">
      <c r="A8" s="2" t="s">
        <v>93</v>
      </c>
      <c r="B8" s="2"/>
      <c r="C8" s="2"/>
      <c r="D8" s="2"/>
      <c r="E8" s="2"/>
    </row>
    <row r="9" spans="1:5">
      <c r="A9" s="2" t="s">
        <v>94</v>
      </c>
      <c r="B9" s="2"/>
      <c r="C9" s="2"/>
      <c r="D9" s="2"/>
      <c r="E9" s="2"/>
    </row>
    <row r="10" spans="1:5">
      <c r="A10" s="2" t="s">
        <v>95</v>
      </c>
      <c r="B10" s="2" t="s">
        <v>96</v>
      </c>
      <c r="C10" s="2"/>
      <c r="D10" s="2"/>
      <c r="E10" s="2"/>
    </row>
    <row r="11" spans="1:5">
      <c r="A11" s="4" t="s">
        <v>5</v>
      </c>
      <c r="B11" s="4" t="s">
        <v>94</v>
      </c>
      <c r="C11" s="4"/>
      <c r="D11" s="4"/>
      <c r="E11" s="4"/>
    </row>
    <row r="12" spans="1:5">
      <c r="A12" s="4" t="s">
        <v>95</v>
      </c>
      <c r="B12" s="4" t="s">
        <v>97</v>
      </c>
      <c r="C12" s="4" t="s">
        <v>98</v>
      </c>
      <c r="D12" s="4"/>
      <c r="E12" s="4" t="s">
        <v>99</v>
      </c>
    </row>
    <row r="13" spans="1:5">
      <c r="A13" s="4" t="s">
        <v>95</v>
      </c>
      <c r="B13" s="4" t="s">
        <v>100</v>
      </c>
      <c r="C13" s="4" t="s">
        <v>101</v>
      </c>
      <c r="D13" s="4" t="s">
        <v>102</v>
      </c>
      <c r="E13" s="4" t="s">
        <v>100</v>
      </c>
    </row>
    <row r="14" spans="1:5">
      <c r="A14" t="s">
        <v>103</v>
      </c>
      <c r="B14" s="5">
        <v>9732791</v>
      </c>
      <c r="C14" s="5">
        <v>17133127.440000001</v>
      </c>
      <c r="D14" s="5">
        <v>5739336.0700000003</v>
      </c>
      <c r="E14" s="5">
        <v>1661000.37</v>
      </c>
    </row>
    <row r="15" spans="1:5">
      <c r="A15" t="s">
        <v>104</v>
      </c>
      <c r="B15" s="5"/>
      <c r="C15" s="5">
        <v>2570893.2000000002</v>
      </c>
      <c r="D15" s="5">
        <v>523992.84</v>
      </c>
      <c r="E15" s="5">
        <v>2046900.36</v>
      </c>
    </row>
    <row r="16" spans="1:5">
      <c r="A16" t="s">
        <v>105</v>
      </c>
      <c r="B16" s="5">
        <v>1812735</v>
      </c>
      <c r="C16" s="5"/>
      <c r="D16" s="5"/>
      <c r="E16" s="5">
        <v>1812735</v>
      </c>
    </row>
    <row r="17" spans="1:5">
      <c r="A17" t="s">
        <v>106</v>
      </c>
      <c r="B17" s="5">
        <v>7920056</v>
      </c>
      <c r="C17" s="5">
        <v>1536715.24</v>
      </c>
      <c r="D17" s="5">
        <v>115343.23</v>
      </c>
      <c r="E17" s="5">
        <v>6498683.9900000002</v>
      </c>
    </row>
    <row r="18" spans="1:5">
      <c r="A18" t="s">
        <v>107</v>
      </c>
      <c r="B18" s="5"/>
      <c r="C18" s="5">
        <v>218775</v>
      </c>
      <c r="D18" s="5"/>
      <c r="E18" s="5">
        <v>218775</v>
      </c>
    </row>
    <row r="19" spans="1:5">
      <c r="A19" t="s">
        <v>108</v>
      </c>
      <c r="B19" s="5"/>
      <c r="C19" s="5"/>
      <c r="D19" s="5">
        <v>5100000</v>
      </c>
      <c r="E19" s="5">
        <v>5100000</v>
      </c>
    </row>
    <row r="20" spans="1:5">
      <c r="A20" t="s">
        <v>109</v>
      </c>
      <c r="B20" s="5"/>
      <c r="C20" s="5">
        <v>12806744</v>
      </c>
      <c r="D20" s="5"/>
      <c r="E20" s="5">
        <v>12806744</v>
      </c>
    </row>
    <row r="21" spans="1:5">
      <c r="A21" t="s">
        <v>110</v>
      </c>
      <c r="B21" s="5">
        <v>4727504.1100000003</v>
      </c>
      <c r="C21" s="5">
        <v>71628266.060000002</v>
      </c>
      <c r="D21" s="5">
        <v>73573744.879999995</v>
      </c>
      <c r="E21" s="5">
        <v>6672982.9299999997</v>
      </c>
    </row>
    <row r="22" spans="1:5">
      <c r="A22" t="s">
        <v>111</v>
      </c>
      <c r="B22" s="5">
        <v>90426</v>
      </c>
      <c r="C22" s="5">
        <v>8653328.1799999997</v>
      </c>
      <c r="D22" s="5">
        <v>9298724.7300000004</v>
      </c>
      <c r="E22" s="5">
        <v>735822.55</v>
      </c>
    </row>
    <row r="23" spans="1:5">
      <c r="A23" t="s">
        <v>112</v>
      </c>
      <c r="B23" s="5"/>
      <c r="C23" s="5">
        <v>253369.33</v>
      </c>
      <c r="D23" s="5">
        <v>253369.33</v>
      </c>
      <c r="E23" s="5"/>
    </row>
    <row r="24" spans="1:5">
      <c r="A24" t="s">
        <v>113</v>
      </c>
      <c r="B24" s="5"/>
      <c r="C24" s="5">
        <v>2195020.1</v>
      </c>
      <c r="D24" s="5">
        <v>2195020.1</v>
      </c>
      <c r="E24" s="5"/>
    </row>
    <row r="25" spans="1:5">
      <c r="A25" t="s">
        <v>114</v>
      </c>
      <c r="B25" s="5">
        <v>90426</v>
      </c>
      <c r="C25" s="5">
        <v>3296167</v>
      </c>
      <c r="D25" s="5">
        <v>3941563.55</v>
      </c>
      <c r="E25" s="5">
        <v>735822.55</v>
      </c>
    </row>
    <row r="26" spans="1:5">
      <c r="A26" t="s">
        <v>115</v>
      </c>
      <c r="B26" s="5"/>
      <c r="C26" s="5">
        <v>201182.32</v>
      </c>
      <c r="D26" s="5">
        <v>201182.32</v>
      </c>
      <c r="E26" s="5"/>
    </row>
    <row r="27" spans="1:5">
      <c r="A27" t="s">
        <v>116</v>
      </c>
      <c r="B27" s="5"/>
      <c r="C27" s="5">
        <v>259200</v>
      </c>
      <c r="D27" s="5">
        <v>259200</v>
      </c>
      <c r="E27" s="5"/>
    </row>
    <row r="28" spans="1:5">
      <c r="A28" t="s">
        <v>117</v>
      </c>
      <c r="B28" s="5"/>
      <c r="C28" s="5">
        <v>253369.33</v>
      </c>
      <c r="D28" s="5">
        <v>253369.33</v>
      </c>
      <c r="E28" s="5"/>
    </row>
    <row r="29" spans="1:5">
      <c r="A29" t="s">
        <v>118</v>
      </c>
      <c r="B29" s="5"/>
      <c r="C29" s="5">
        <v>2195020.1</v>
      </c>
      <c r="D29" s="5">
        <v>2195020.1</v>
      </c>
      <c r="E29" s="5"/>
    </row>
    <row r="30" spans="1:5">
      <c r="A30" t="s">
        <v>119</v>
      </c>
      <c r="B30" s="5">
        <v>4661561</v>
      </c>
      <c r="C30" s="5">
        <v>58102964.409999996</v>
      </c>
      <c r="D30" s="5">
        <v>58855344.700000003</v>
      </c>
      <c r="E30" s="5">
        <v>5413941.29</v>
      </c>
    </row>
    <row r="31" spans="1:5">
      <c r="A31" t="s">
        <v>120</v>
      </c>
      <c r="B31" s="5">
        <v>1711</v>
      </c>
      <c r="C31" s="5">
        <v>552694</v>
      </c>
      <c r="D31" s="5">
        <v>550983</v>
      </c>
      <c r="E31" s="5"/>
    </row>
    <row r="32" spans="1:5">
      <c r="A32" t="s">
        <v>121</v>
      </c>
      <c r="B32" s="5"/>
      <c r="C32" s="5">
        <v>24566</v>
      </c>
      <c r="D32" s="5">
        <v>24566</v>
      </c>
      <c r="E32" s="5"/>
    </row>
    <row r="33" spans="1:5">
      <c r="A33" t="s">
        <v>122</v>
      </c>
      <c r="B33" s="5"/>
      <c r="C33" s="5">
        <v>44183</v>
      </c>
      <c r="D33" s="5">
        <v>44183</v>
      </c>
      <c r="E33" s="5"/>
    </row>
    <row r="34" spans="1:5">
      <c r="A34" t="s">
        <v>123</v>
      </c>
      <c r="B34" s="5"/>
      <c r="C34" s="5">
        <v>1776</v>
      </c>
      <c r="D34" s="5">
        <v>1776</v>
      </c>
      <c r="E34" s="5"/>
    </row>
    <row r="35" spans="1:5">
      <c r="A35" t="s">
        <v>124</v>
      </c>
      <c r="B35" s="5"/>
      <c r="C35" s="5">
        <v>6316</v>
      </c>
      <c r="D35" s="5">
        <v>6316</v>
      </c>
      <c r="E35" s="5"/>
    </row>
    <row r="36" spans="1:5">
      <c r="A36" t="s">
        <v>125</v>
      </c>
      <c r="B36" s="5"/>
      <c r="C36" s="5">
        <v>17840</v>
      </c>
      <c r="D36" s="5">
        <v>17840</v>
      </c>
      <c r="E36" s="5"/>
    </row>
    <row r="37" spans="1:5">
      <c r="A37" t="s">
        <v>126</v>
      </c>
      <c r="B37" s="5"/>
      <c r="C37" s="5">
        <v>38566</v>
      </c>
      <c r="D37" s="5">
        <v>38566</v>
      </c>
      <c r="E37" s="5"/>
    </row>
    <row r="38" spans="1:5">
      <c r="A38" t="s">
        <v>127</v>
      </c>
      <c r="B38" s="5">
        <v>1711</v>
      </c>
      <c r="C38" s="5">
        <v>16448</v>
      </c>
      <c r="D38" s="5">
        <v>14737</v>
      </c>
      <c r="E38" s="5"/>
    </row>
    <row r="39" spans="1:5">
      <c r="A39" t="s">
        <v>128</v>
      </c>
      <c r="B39" s="5"/>
      <c r="C39" s="5">
        <v>800</v>
      </c>
      <c r="D39" s="5">
        <v>800</v>
      </c>
      <c r="E39" s="5"/>
    </row>
    <row r="40" spans="1:5">
      <c r="A40" t="s">
        <v>129</v>
      </c>
      <c r="B40" s="5"/>
      <c r="C40" s="5">
        <v>113064</v>
      </c>
      <c r="D40" s="5">
        <v>113064</v>
      </c>
      <c r="E40" s="5"/>
    </row>
    <row r="41" spans="1:5">
      <c r="A41" t="s">
        <v>130</v>
      </c>
      <c r="B41" s="5"/>
      <c r="C41" s="5">
        <v>1309</v>
      </c>
      <c r="D41" s="5">
        <v>1309</v>
      </c>
      <c r="E41" s="5"/>
    </row>
    <row r="42" spans="1:5">
      <c r="A42" t="s">
        <v>131</v>
      </c>
      <c r="B42" s="5"/>
      <c r="C42" s="5">
        <v>500</v>
      </c>
      <c r="D42" s="5">
        <v>500</v>
      </c>
      <c r="E42" s="5"/>
    </row>
    <row r="43" spans="1:5">
      <c r="A43" t="s">
        <v>132</v>
      </c>
      <c r="B43" s="5"/>
      <c r="C43" s="5">
        <v>6979</v>
      </c>
      <c r="D43" s="5">
        <v>6979</v>
      </c>
      <c r="E43" s="5"/>
    </row>
    <row r="44" spans="1:5">
      <c r="A44" t="s">
        <v>133</v>
      </c>
      <c r="B44" s="5"/>
      <c r="C44" s="5">
        <v>54627</v>
      </c>
      <c r="D44" s="5">
        <v>54627</v>
      </c>
      <c r="E44" s="5"/>
    </row>
    <row r="45" spans="1:5">
      <c r="A45" t="s">
        <v>134</v>
      </c>
      <c r="B45" s="5"/>
      <c r="C45" s="5">
        <v>13080</v>
      </c>
      <c r="D45" s="5">
        <v>13080</v>
      </c>
      <c r="E45" s="5"/>
    </row>
    <row r="46" spans="1:5">
      <c r="A46" t="s">
        <v>135</v>
      </c>
      <c r="B46" s="5"/>
      <c r="C46" s="5">
        <v>1500</v>
      </c>
      <c r="D46" s="5">
        <v>1500</v>
      </c>
      <c r="E46" s="5"/>
    </row>
    <row r="47" spans="1:5">
      <c r="A47" t="s">
        <v>136</v>
      </c>
      <c r="B47" s="5"/>
      <c r="C47" s="5">
        <v>1200</v>
      </c>
      <c r="D47" s="5">
        <v>1200</v>
      </c>
      <c r="E47" s="5"/>
    </row>
    <row r="48" spans="1:5">
      <c r="A48" t="s">
        <v>137</v>
      </c>
      <c r="B48" s="5"/>
      <c r="C48" s="5">
        <v>1800</v>
      </c>
      <c r="D48" s="5">
        <v>1800</v>
      </c>
      <c r="E48" s="5"/>
    </row>
    <row r="49" spans="1:5">
      <c r="A49" t="s">
        <v>138</v>
      </c>
      <c r="B49" s="5"/>
      <c r="C49" s="5">
        <v>5749</v>
      </c>
      <c r="D49" s="5">
        <v>5749</v>
      </c>
      <c r="E49" s="5"/>
    </row>
    <row r="50" spans="1:5">
      <c r="A50" t="s">
        <v>139</v>
      </c>
      <c r="B50" s="5"/>
      <c r="C50" s="5">
        <v>2500</v>
      </c>
      <c r="D50" s="5">
        <v>2500</v>
      </c>
      <c r="E50" s="5"/>
    </row>
    <row r="51" spans="1:5">
      <c r="A51" t="s">
        <v>140</v>
      </c>
      <c r="B51" s="5"/>
      <c r="C51" s="5">
        <v>33193</v>
      </c>
      <c r="D51" s="5">
        <v>33193</v>
      </c>
      <c r="E51" s="5"/>
    </row>
    <row r="52" spans="1:5">
      <c r="A52" t="s">
        <v>141</v>
      </c>
      <c r="B52" s="5"/>
      <c r="C52" s="5">
        <v>46022</v>
      </c>
      <c r="D52" s="5">
        <v>46022</v>
      </c>
      <c r="E52" s="5"/>
    </row>
    <row r="53" spans="1:5">
      <c r="A53" t="s">
        <v>142</v>
      </c>
      <c r="B53" s="5"/>
      <c r="C53" s="5">
        <v>1000</v>
      </c>
      <c r="D53" s="5">
        <v>1000</v>
      </c>
      <c r="E53" s="5"/>
    </row>
    <row r="54" spans="1:5">
      <c r="A54" t="s">
        <v>143</v>
      </c>
      <c r="B54" s="5"/>
      <c r="C54" s="5">
        <v>4478</v>
      </c>
      <c r="D54" s="5">
        <v>4478</v>
      </c>
      <c r="E54" s="5"/>
    </row>
    <row r="55" spans="1:5">
      <c r="A55" t="s">
        <v>144</v>
      </c>
      <c r="B55" s="5"/>
      <c r="C55" s="5">
        <v>12116</v>
      </c>
      <c r="D55" s="5">
        <v>12116</v>
      </c>
      <c r="E55" s="5"/>
    </row>
    <row r="56" spans="1:5">
      <c r="A56" t="s">
        <v>145</v>
      </c>
      <c r="B56" s="5"/>
      <c r="C56" s="5">
        <v>92561</v>
      </c>
      <c r="D56" s="5">
        <v>92561</v>
      </c>
      <c r="E56" s="5"/>
    </row>
    <row r="57" spans="1:5">
      <c r="A57" t="s">
        <v>146</v>
      </c>
      <c r="B57" s="5"/>
      <c r="C57" s="5">
        <v>5392</v>
      </c>
      <c r="D57" s="5">
        <v>5392</v>
      </c>
      <c r="E57" s="5"/>
    </row>
    <row r="58" spans="1:5">
      <c r="A58" t="s">
        <v>147</v>
      </c>
      <c r="B58" s="5"/>
      <c r="C58" s="5">
        <v>1811</v>
      </c>
      <c r="D58" s="5">
        <v>1811</v>
      </c>
      <c r="E58" s="5"/>
    </row>
    <row r="59" spans="1:5">
      <c r="A59" t="s">
        <v>148</v>
      </c>
      <c r="B59" s="5"/>
      <c r="C59" s="5">
        <v>1818</v>
      </c>
      <c r="D59" s="5">
        <v>1818</v>
      </c>
      <c r="E59" s="5"/>
    </row>
    <row r="60" spans="1:5">
      <c r="A60" t="s">
        <v>149</v>
      </c>
      <c r="B60" s="5"/>
      <c r="C60" s="5">
        <v>1500</v>
      </c>
      <c r="D60" s="5">
        <v>1500</v>
      </c>
      <c r="E60" s="5"/>
    </row>
    <row r="61" spans="1:5">
      <c r="A61" t="s">
        <v>150</v>
      </c>
      <c r="B61" s="5">
        <v>198900</v>
      </c>
      <c r="C61" s="5">
        <v>2739330</v>
      </c>
      <c r="D61" s="5">
        <v>2717621</v>
      </c>
      <c r="E61" s="5">
        <v>177191</v>
      </c>
    </row>
    <row r="62" spans="1:5">
      <c r="A62" t="s">
        <v>151</v>
      </c>
      <c r="B62" s="5">
        <v>4067743</v>
      </c>
      <c r="C62" s="5">
        <v>48269166.409999996</v>
      </c>
      <c r="D62" s="5">
        <v>48934613.409999996</v>
      </c>
      <c r="E62" s="5">
        <v>4733190</v>
      </c>
    </row>
    <row r="63" spans="1:5">
      <c r="A63" t="s">
        <v>152</v>
      </c>
      <c r="B63" s="5">
        <v>55000</v>
      </c>
      <c r="C63" s="5">
        <v>585563</v>
      </c>
      <c r="D63" s="5">
        <v>566663</v>
      </c>
      <c r="E63" s="5">
        <v>36100</v>
      </c>
    </row>
    <row r="64" spans="1:5">
      <c r="A64" t="s">
        <v>153</v>
      </c>
      <c r="B64" s="5"/>
      <c r="C64" s="5"/>
      <c r="D64" s="5">
        <v>8400</v>
      </c>
      <c r="E64" s="5">
        <v>8400</v>
      </c>
    </row>
    <row r="65" spans="1:5">
      <c r="A65" t="s">
        <v>154</v>
      </c>
      <c r="B65" s="5">
        <v>211495</v>
      </c>
      <c r="C65" s="5">
        <v>2086528</v>
      </c>
      <c r="D65" s="5">
        <v>1956339.7</v>
      </c>
      <c r="E65" s="5">
        <v>81306.7</v>
      </c>
    </row>
    <row r="66" spans="1:5">
      <c r="A66" t="s">
        <v>155</v>
      </c>
      <c r="B66" s="5">
        <v>85100</v>
      </c>
      <c r="C66" s="5">
        <v>1110608</v>
      </c>
      <c r="D66" s="5">
        <v>1173495</v>
      </c>
      <c r="E66" s="5">
        <v>147987</v>
      </c>
    </row>
    <row r="67" spans="1:5">
      <c r="A67" t="s">
        <v>156</v>
      </c>
      <c r="B67" s="5">
        <v>1200</v>
      </c>
      <c r="C67" s="5">
        <v>133600</v>
      </c>
      <c r="D67" s="5">
        <v>151600</v>
      </c>
      <c r="E67" s="5">
        <v>16800</v>
      </c>
    </row>
    <row r="68" spans="1:5">
      <c r="A68" t="s">
        <v>157</v>
      </c>
      <c r="B68" s="5">
        <v>32150</v>
      </c>
      <c r="C68" s="5">
        <v>740091</v>
      </c>
      <c r="D68" s="5">
        <v>773833</v>
      </c>
      <c r="E68" s="5">
        <v>65892</v>
      </c>
    </row>
    <row r="69" spans="1:5">
      <c r="A69" t="s">
        <v>158</v>
      </c>
      <c r="B69" s="5">
        <v>10662</v>
      </c>
      <c r="C69" s="5">
        <v>10662</v>
      </c>
      <c r="D69" s="5"/>
      <c r="E69" s="5"/>
    </row>
    <row r="70" spans="1:5">
      <c r="A70" t="s">
        <v>159</v>
      </c>
      <c r="B70" s="5"/>
      <c r="C70" s="5">
        <v>1874722</v>
      </c>
      <c r="D70" s="5">
        <v>2021796.59</v>
      </c>
      <c r="E70" s="5">
        <v>147074.59</v>
      </c>
    </row>
    <row r="71" spans="1:5">
      <c r="A71" t="s">
        <v>160</v>
      </c>
      <c r="B71" s="5">
        <v>24482.89</v>
      </c>
      <c r="C71" s="5">
        <v>4871973.47</v>
      </c>
      <c r="D71" s="5">
        <v>5419675.4500000002</v>
      </c>
      <c r="E71" s="5">
        <v>523219.09</v>
      </c>
    </row>
    <row r="72" spans="1:5">
      <c r="A72" t="s">
        <v>161</v>
      </c>
      <c r="B72" s="5">
        <v>47047.11</v>
      </c>
      <c r="C72" s="5">
        <v>801131.3</v>
      </c>
      <c r="D72" s="5">
        <v>754084.19</v>
      </c>
      <c r="E72" s="5"/>
    </row>
    <row r="73" spans="1:5">
      <c r="A73" t="s">
        <v>162</v>
      </c>
      <c r="B73" s="5"/>
      <c r="C73" s="5">
        <v>17687</v>
      </c>
      <c r="D73" s="5">
        <v>17687</v>
      </c>
      <c r="E73" s="5"/>
    </row>
    <row r="74" spans="1:5">
      <c r="A74" t="s">
        <v>163</v>
      </c>
      <c r="B74" s="5"/>
      <c r="C74" s="5">
        <v>106140.49</v>
      </c>
      <c r="D74" s="5">
        <v>106140.49</v>
      </c>
      <c r="E74" s="5"/>
    </row>
    <row r="75" spans="1:5">
      <c r="A75" t="s">
        <v>164</v>
      </c>
      <c r="B75" s="5"/>
      <c r="C75" s="5">
        <v>518000.01</v>
      </c>
      <c r="D75" s="5">
        <v>518000.01</v>
      </c>
      <c r="E75" s="5"/>
    </row>
    <row r="76" spans="1:5">
      <c r="A76" t="s">
        <v>165</v>
      </c>
      <c r="B76" s="5"/>
      <c r="C76" s="5">
        <v>176264.85</v>
      </c>
      <c r="D76" s="5">
        <v>176264.85</v>
      </c>
      <c r="E76" s="5"/>
    </row>
    <row r="77" spans="1:5">
      <c r="A77" t="s">
        <v>166</v>
      </c>
      <c r="B77" s="5"/>
      <c r="C77" s="5">
        <v>397</v>
      </c>
      <c r="D77" s="5">
        <v>397</v>
      </c>
      <c r="E77" s="5"/>
    </row>
    <row r="78" spans="1:5">
      <c r="A78" t="s">
        <v>167</v>
      </c>
      <c r="B78" s="5"/>
      <c r="C78" s="5">
        <v>531</v>
      </c>
      <c r="D78" s="5">
        <v>531</v>
      </c>
      <c r="E78" s="5"/>
    </row>
    <row r="79" spans="1:5">
      <c r="A79" t="s">
        <v>168</v>
      </c>
      <c r="B79" s="5"/>
      <c r="C79" s="5">
        <v>10796.98</v>
      </c>
      <c r="D79" s="5">
        <v>10796.98</v>
      </c>
      <c r="E79" s="5"/>
    </row>
    <row r="80" spans="1:5">
      <c r="A80" t="s">
        <v>169</v>
      </c>
      <c r="B80" s="5"/>
      <c r="C80" s="5">
        <v>1362500</v>
      </c>
      <c r="D80" s="5">
        <v>1632500</v>
      </c>
      <c r="E80" s="5">
        <v>270000</v>
      </c>
    </row>
    <row r="81" spans="1:5">
      <c r="A81" t="s">
        <v>170</v>
      </c>
      <c r="B81" s="5"/>
      <c r="C81" s="5">
        <v>28957.77</v>
      </c>
      <c r="D81" s="5">
        <v>28957.77</v>
      </c>
      <c r="E81" s="5"/>
    </row>
    <row r="82" spans="1:5">
      <c r="A82" t="s">
        <v>171</v>
      </c>
      <c r="B82" s="5"/>
      <c r="C82" s="5">
        <v>329</v>
      </c>
      <c r="D82" s="5">
        <v>329</v>
      </c>
      <c r="E82" s="5"/>
    </row>
    <row r="83" spans="1:5">
      <c r="A83" t="s">
        <v>172</v>
      </c>
      <c r="B83" s="5"/>
      <c r="C83" s="5">
        <v>17700</v>
      </c>
      <c r="D83" s="5">
        <v>17700</v>
      </c>
      <c r="E83" s="5"/>
    </row>
    <row r="84" spans="1:5">
      <c r="A84" t="s">
        <v>173</v>
      </c>
      <c r="B84" s="5">
        <v>71530</v>
      </c>
      <c r="C84" s="5">
        <v>832000</v>
      </c>
      <c r="D84" s="5">
        <v>903530</v>
      </c>
      <c r="E84" s="5"/>
    </row>
    <row r="85" spans="1:5">
      <c r="A85" t="s">
        <v>174</v>
      </c>
      <c r="B85" s="5"/>
      <c r="C85" s="5">
        <v>25249</v>
      </c>
      <c r="D85" s="5">
        <v>25249</v>
      </c>
      <c r="E85" s="5"/>
    </row>
    <row r="86" spans="1:5">
      <c r="A86" t="s">
        <v>175</v>
      </c>
      <c r="B86" s="5"/>
      <c r="C86" s="5">
        <v>5726.16</v>
      </c>
      <c r="D86" s="5">
        <v>5726.16</v>
      </c>
      <c r="E86" s="5"/>
    </row>
    <row r="87" spans="1:5">
      <c r="A87" t="s">
        <v>176</v>
      </c>
      <c r="B87" s="5"/>
      <c r="C87" s="5">
        <v>83913.08</v>
      </c>
      <c r="D87" s="5">
        <v>83913.08</v>
      </c>
      <c r="E87" s="5"/>
    </row>
    <row r="88" spans="1:5">
      <c r="A88" t="s">
        <v>177</v>
      </c>
      <c r="B88" s="5"/>
      <c r="C88" s="5">
        <v>33143</v>
      </c>
      <c r="D88" s="5">
        <v>33143</v>
      </c>
      <c r="E88" s="5"/>
    </row>
    <row r="89" spans="1:5">
      <c r="A89" t="s">
        <v>178</v>
      </c>
      <c r="B89" s="5"/>
      <c r="C89" s="5">
        <v>324</v>
      </c>
      <c r="D89" s="5">
        <v>324</v>
      </c>
      <c r="E89" s="5"/>
    </row>
    <row r="90" spans="1:5">
      <c r="A90" t="s">
        <v>179</v>
      </c>
      <c r="B90" s="5"/>
      <c r="C90" s="5">
        <v>846</v>
      </c>
      <c r="D90" s="5">
        <v>846</v>
      </c>
      <c r="E90" s="5"/>
    </row>
    <row r="91" spans="1:5">
      <c r="A91" t="s">
        <v>180</v>
      </c>
      <c r="B91" s="5"/>
      <c r="C91" s="5">
        <v>79530.100000000006</v>
      </c>
      <c r="D91" s="5">
        <v>79530.100000000006</v>
      </c>
      <c r="E91" s="5"/>
    </row>
    <row r="92" spans="1:5">
      <c r="A92" t="s">
        <v>181</v>
      </c>
      <c r="B92" s="5"/>
      <c r="C92" s="5">
        <v>82</v>
      </c>
      <c r="D92" s="5">
        <v>82</v>
      </c>
      <c r="E92" s="5"/>
    </row>
    <row r="93" spans="1:5">
      <c r="A93" t="s">
        <v>182</v>
      </c>
      <c r="B93" s="5"/>
      <c r="C93" s="5">
        <v>17051</v>
      </c>
      <c r="D93" s="5">
        <v>17051</v>
      </c>
      <c r="E93" s="5"/>
    </row>
    <row r="94" spans="1:5">
      <c r="A94" t="s">
        <v>183</v>
      </c>
      <c r="B94" s="5"/>
      <c r="C94" s="5">
        <v>4298.93</v>
      </c>
      <c r="D94" s="5">
        <v>4298.93</v>
      </c>
      <c r="E94" s="5"/>
    </row>
    <row r="95" spans="1:5">
      <c r="A95" t="s">
        <v>184</v>
      </c>
      <c r="B95" s="5"/>
      <c r="C95" s="5">
        <v>10087.9</v>
      </c>
      <c r="D95" s="5">
        <v>10087.9</v>
      </c>
      <c r="E95" s="5"/>
    </row>
    <row r="96" spans="1:5">
      <c r="A96" t="s">
        <v>185</v>
      </c>
      <c r="B96" s="5"/>
      <c r="C96" s="5">
        <v>177000</v>
      </c>
      <c r="D96" s="5">
        <v>177000</v>
      </c>
      <c r="E96" s="5"/>
    </row>
    <row r="97" spans="1:5">
      <c r="A97" t="s">
        <v>186</v>
      </c>
      <c r="B97" s="5"/>
      <c r="C97" s="5">
        <v>2500</v>
      </c>
      <c r="D97" s="5">
        <v>2500</v>
      </c>
      <c r="E97" s="5"/>
    </row>
    <row r="98" spans="1:5">
      <c r="A98" t="s">
        <v>187</v>
      </c>
      <c r="B98" s="5"/>
      <c r="C98" s="5">
        <v>59000</v>
      </c>
      <c r="D98" s="5">
        <v>59000</v>
      </c>
      <c r="E98" s="5"/>
    </row>
    <row r="99" spans="1:5">
      <c r="A99" t="s">
        <v>188</v>
      </c>
      <c r="B99" s="5"/>
      <c r="C99" s="5">
        <v>286418.59999999998</v>
      </c>
      <c r="D99" s="5">
        <v>286418.59999999998</v>
      </c>
      <c r="E99" s="5"/>
    </row>
    <row r="100" spans="1:5">
      <c r="A100" t="s">
        <v>189</v>
      </c>
      <c r="B100" s="5"/>
      <c r="C100" s="5">
        <v>54610</v>
      </c>
      <c r="D100" s="5">
        <v>172829.09</v>
      </c>
      <c r="E100" s="5">
        <v>118219.09</v>
      </c>
    </row>
    <row r="101" spans="1:5">
      <c r="A101" t="s">
        <v>190</v>
      </c>
      <c r="B101" s="5"/>
      <c r="C101" s="5">
        <v>1398</v>
      </c>
      <c r="D101" s="5">
        <v>1398</v>
      </c>
      <c r="E101" s="5"/>
    </row>
    <row r="102" spans="1:5">
      <c r="A102" t="s">
        <v>191</v>
      </c>
      <c r="B102" s="5"/>
      <c r="C102" s="5">
        <v>15000</v>
      </c>
      <c r="D102" s="5">
        <v>150000</v>
      </c>
      <c r="E102" s="5">
        <v>135000</v>
      </c>
    </row>
    <row r="103" spans="1:5">
      <c r="A103" t="s">
        <v>192</v>
      </c>
      <c r="B103" s="5"/>
      <c r="C103" s="5">
        <v>1333.99</v>
      </c>
      <c r="D103" s="5">
        <v>1333.99</v>
      </c>
      <c r="E103" s="5"/>
    </row>
    <row r="104" spans="1:5">
      <c r="A104" t="s">
        <v>193</v>
      </c>
      <c r="B104" s="5"/>
      <c r="C104" s="5">
        <v>8089</v>
      </c>
      <c r="D104" s="5">
        <v>8089</v>
      </c>
      <c r="E104" s="5"/>
    </row>
    <row r="105" spans="1:5">
      <c r="A105" t="s">
        <v>194</v>
      </c>
      <c r="B105" s="5"/>
      <c r="C105" s="5">
        <v>25240.05</v>
      </c>
      <c r="D105" s="5">
        <v>25240.05</v>
      </c>
      <c r="E105" s="5"/>
    </row>
    <row r="106" spans="1:5">
      <c r="A106" t="s">
        <v>195</v>
      </c>
      <c r="B106" s="5"/>
      <c r="C106" s="5">
        <v>21712</v>
      </c>
      <c r="D106" s="5">
        <v>21712</v>
      </c>
      <c r="E106" s="5"/>
    </row>
    <row r="107" spans="1:5">
      <c r="A107" t="s">
        <v>196</v>
      </c>
      <c r="B107" s="5"/>
      <c r="C107" s="5">
        <v>5880</v>
      </c>
      <c r="D107" s="5">
        <v>5880</v>
      </c>
      <c r="E107" s="5"/>
    </row>
    <row r="108" spans="1:5">
      <c r="A108" t="s">
        <v>197</v>
      </c>
      <c r="B108" s="5"/>
      <c r="C108" s="5">
        <v>6500</v>
      </c>
      <c r="D108" s="5">
        <v>6500</v>
      </c>
      <c r="E108" s="5"/>
    </row>
    <row r="109" spans="1:5">
      <c r="A109" t="s">
        <v>198</v>
      </c>
      <c r="B109" s="5"/>
      <c r="C109" s="5">
        <v>8240</v>
      </c>
      <c r="D109" s="5">
        <v>8240</v>
      </c>
      <c r="E109" s="5"/>
    </row>
    <row r="110" spans="1:5">
      <c r="A110" t="s">
        <v>199</v>
      </c>
      <c r="B110" s="5"/>
      <c r="C110" s="5">
        <v>9125</v>
      </c>
      <c r="D110" s="5">
        <v>9125</v>
      </c>
      <c r="E110" s="5"/>
    </row>
    <row r="111" spans="1:5">
      <c r="A111" t="s">
        <v>200</v>
      </c>
      <c r="B111" s="5"/>
      <c r="C111" s="5">
        <v>668.26</v>
      </c>
      <c r="D111" s="5">
        <v>668.26</v>
      </c>
      <c r="E111" s="5"/>
    </row>
    <row r="112" spans="1:5">
      <c r="A112" t="s">
        <v>201</v>
      </c>
      <c r="B112" s="5"/>
      <c r="C112" s="5">
        <v>42084</v>
      </c>
      <c r="D112" s="5">
        <v>42084</v>
      </c>
      <c r="E112" s="5"/>
    </row>
    <row r="113" spans="1:5">
      <c r="A113" t="s">
        <v>202</v>
      </c>
      <c r="B113" s="5"/>
      <c r="C113" s="5">
        <v>988</v>
      </c>
      <c r="D113" s="5">
        <v>988</v>
      </c>
      <c r="E113" s="5"/>
    </row>
    <row r="114" spans="1:5">
      <c r="A114" t="s">
        <v>203</v>
      </c>
      <c r="B114" s="5"/>
      <c r="C114" s="5">
        <v>13500</v>
      </c>
      <c r="D114" s="5">
        <v>13500</v>
      </c>
      <c r="E114" s="5"/>
    </row>
    <row r="115" spans="1:5">
      <c r="A115" t="s">
        <v>204</v>
      </c>
      <c r="B115" s="5">
        <v>1150104.92</v>
      </c>
      <c r="C115" s="5">
        <v>84000</v>
      </c>
      <c r="D115" s="5"/>
      <c r="E115" s="5">
        <v>1234104.92</v>
      </c>
    </row>
    <row r="116" spans="1:5">
      <c r="A116" t="s">
        <v>81</v>
      </c>
      <c r="B116" s="5">
        <v>902257.32</v>
      </c>
      <c r="C116" s="5">
        <v>84000</v>
      </c>
      <c r="D116" s="5"/>
      <c r="E116" s="5">
        <v>986257.32</v>
      </c>
    </row>
    <row r="117" spans="1:5">
      <c r="A117" t="s">
        <v>82</v>
      </c>
      <c r="B117" s="5">
        <v>37201</v>
      </c>
      <c r="C117" s="5"/>
      <c r="D117" s="5"/>
      <c r="E117" s="5">
        <v>37201</v>
      </c>
    </row>
    <row r="118" spans="1:5">
      <c r="A118" t="s">
        <v>83</v>
      </c>
      <c r="B118" s="5">
        <v>39683.599999999999</v>
      </c>
      <c r="C118" s="5"/>
      <c r="D118" s="5"/>
      <c r="E118" s="5">
        <v>39683.599999999999</v>
      </c>
    </row>
    <row r="119" spans="1:5">
      <c r="A119" t="s">
        <v>84</v>
      </c>
      <c r="B119" s="5">
        <v>170963</v>
      </c>
      <c r="C119" s="5"/>
      <c r="D119" s="5"/>
      <c r="E119" s="5">
        <v>170963</v>
      </c>
    </row>
    <row r="120" spans="1:5">
      <c r="A120" t="s">
        <v>205</v>
      </c>
      <c r="B120" s="5">
        <v>13310190.189999999</v>
      </c>
      <c r="C120" s="5">
        <v>130568525.5</v>
      </c>
      <c r="D120" s="5">
        <v>127883566.77</v>
      </c>
      <c r="E120" s="5">
        <v>15995148.92</v>
      </c>
    </row>
    <row r="121" spans="1:5">
      <c r="A121" t="s">
        <v>206</v>
      </c>
      <c r="B121" s="5">
        <v>5634670</v>
      </c>
      <c r="C121" s="5"/>
      <c r="D121" s="5"/>
      <c r="E121" s="5">
        <v>5634670</v>
      </c>
    </row>
    <row r="122" spans="1:5">
      <c r="A122" t="s">
        <v>207</v>
      </c>
      <c r="B122" s="5">
        <v>5634670</v>
      </c>
      <c r="C122" s="5"/>
      <c r="D122" s="5">
        <v>5634670</v>
      </c>
      <c r="E122" s="5">
        <v>5634670</v>
      </c>
    </row>
    <row r="123" spans="1:5">
      <c r="A123" t="s">
        <v>208</v>
      </c>
      <c r="B123" s="5">
        <v>4261145.2300000004</v>
      </c>
      <c r="C123" s="5">
        <v>65306078.810000002</v>
      </c>
      <c r="D123" s="5">
        <v>59753870.100000001</v>
      </c>
      <c r="E123" s="5">
        <v>9813353.9399999995</v>
      </c>
    </row>
    <row r="124" spans="1:5">
      <c r="A124" t="s">
        <v>209</v>
      </c>
      <c r="B124" s="5">
        <v>411507.64</v>
      </c>
      <c r="C124" s="5">
        <v>817962.9</v>
      </c>
      <c r="D124" s="5">
        <v>1229470.54</v>
      </c>
      <c r="E124" s="5"/>
    </row>
    <row r="125" spans="1:5">
      <c r="A125" t="s">
        <v>210</v>
      </c>
      <c r="B125" s="5"/>
      <c r="C125" s="5">
        <v>1352807.88</v>
      </c>
      <c r="D125" s="5">
        <v>1155764.8799999999</v>
      </c>
      <c r="E125" s="5">
        <v>197043</v>
      </c>
    </row>
    <row r="126" spans="1:5">
      <c r="A126" t="s">
        <v>211</v>
      </c>
      <c r="B126" s="5"/>
      <c r="C126" s="5">
        <v>2213900</v>
      </c>
      <c r="D126" s="5">
        <v>2213900</v>
      </c>
      <c r="E126" s="5"/>
    </row>
    <row r="127" spans="1:5">
      <c r="A127" t="s">
        <v>212</v>
      </c>
      <c r="B127" s="5">
        <v>2632229.15</v>
      </c>
      <c r="C127" s="5">
        <v>30073170.190000001</v>
      </c>
      <c r="D127" s="5">
        <v>27980886.039999999</v>
      </c>
      <c r="E127" s="5">
        <v>4724513.3</v>
      </c>
    </row>
    <row r="128" spans="1:5">
      <c r="A128" t="s">
        <v>213</v>
      </c>
      <c r="B128" s="5">
        <v>623808</v>
      </c>
      <c r="C128" s="5">
        <v>8542347.2799999993</v>
      </c>
      <c r="D128" s="5">
        <v>8499468</v>
      </c>
      <c r="E128" s="5">
        <v>666687.28</v>
      </c>
    </row>
    <row r="129" spans="1:5">
      <c r="A129" t="s">
        <v>214</v>
      </c>
      <c r="B129" s="5"/>
      <c r="C129" s="5">
        <v>2495695</v>
      </c>
      <c r="D129" s="5">
        <v>2495695</v>
      </c>
      <c r="E129" s="5"/>
    </row>
    <row r="130" spans="1:5">
      <c r="A130" t="s">
        <v>215</v>
      </c>
      <c r="B130" s="5">
        <v>216000.44</v>
      </c>
      <c r="C130" s="5">
        <v>9896915.8000000007</v>
      </c>
      <c r="D130" s="5">
        <v>9049116.2400000002</v>
      </c>
      <c r="E130" s="5">
        <v>1063800</v>
      </c>
    </row>
    <row r="131" spans="1:5">
      <c r="A131" t="s">
        <v>216</v>
      </c>
      <c r="B131" s="5"/>
      <c r="C131" s="5">
        <v>405000</v>
      </c>
      <c r="D131" s="5">
        <v>405000</v>
      </c>
      <c r="E131" s="5"/>
    </row>
    <row r="132" spans="1:5">
      <c r="A132" t="s">
        <v>217</v>
      </c>
      <c r="B132" s="5"/>
      <c r="C132" s="5">
        <v>377000</v>
      </c>
      <c r="D132" s="5">
        <v>188500</v>
      </c>
      <c r="E132" s="5">
        <v>188500</v>
      </c>
    </row>
    <row r="133" spans="1:5">
      <c r="A133" t="s">
        <v>218</v>
      </c>
      <c r="B133" s="5"/>
      <c r="C133" s="5">
        <v>594000</v>
      </c>
      <c r="D133" s="5">
        <v>594000</v>
      </c>
      <c r="E133" s="5"/>
    </row>
    <row r="134" spans="1:5">
      <c r="A134" t="s">
        <v>219</v>
      </c>
      <c r="B134" s="5"/>
      <c r="C134" s="5">
        <v>191400</v>
      </c>
      <c r="D134" s="5">
        <v>191400</v>
      </c>
      <c r="E134" s="5"/>
    </row>
    <row r="135" spans="1:5">
      <c r="A135" t="s">
        <v>220</v>
      </c>
      <c r="B135" s="5"/>
      <c r="C135" s="5">
        <v>1377000</v>
      </c>
      <c r="D135" s="5">
        <v>1377000</v>
      </c>
      <c r="E135" s="5"/>
    </row>
    <row r="136" spans="1:5">
      <c r="A136" t="s">
        <v>221</v>
      </c>
      <c r="B136" s="5"/>
      <c r="C136" s="5">
        <v>909321.12</v>
      </c>
      <c r="D136" s="5"/>
      <c r="E136" s="5">
        <v>909321.12</v>
      </c>
    </row>
    <row r="137" spans="1:5">
      <c r="A137" t="s">
        <v>222</v>
      </c>
      <c r="B137" s="5"/>
      <c r="C137" s="5">
        <v>6059558.6399999997</v>
      </c>
      <c r="D137" s="5">
        <v>3996069.4</v>
      </c>
      <c r="E137" s="5">
        <v>2063489.24</v>
      </c>
    </row>
    <row r="138" spans="1:5">
      <c r="A138" t="s">
        <v>223</v>
      </c>
      <c r="B138" s="5">
        <v>377600</v>
      </c>
      <c r="C138" s="5"/>
      <c r="D138" s="5">
        <v>377600</v>
      </c>
      <c r="E138" s="5"/>
    </row>
    <row r="139" spans="1:5">
      <c r="A139" t="s">
        <v>224</v>
      </c>
      <c r="B139" s="5">
        <v>3392774.96</v>
      </c>
      <c r="C139" s="5">
        <v>64849682.689999998</v>
      </c>
      <c r="D139" s="5">
        <v>68092264.670000002</v>
      </c>
      <c r="E139" s="5">
        <v>150192.98000000001</v>
      </c>
    </row>
    <row r="140" spans="1:5">
      <c r="A140" t="s">
        <v>225</v>
      </c>
      <c r="B140" s="5">
        <v>3392774.96</v>
      </c>
      <c r="C140" s="5">
        <v>64849682.689999998</v>
      </c>
      <c r="D140" s="5">
        <v>68092264.670000002</v>
      </c>
      <c r="E140" s="5">
        <v>150192.98000000001</v>
      </c>
    </row>
    <row r="141" spans="1:5">
      <c r="A141" t="s">
        <v>226</v>
      </c>
      <c r="B141" s="5"/>
      <c r="C141" s="5">
        <v>412764</v>
      </c>
      <c r="D141" s="5">
        <v>15832</v>
      </c>
      <c r="E141" s="5">
        <v>396932</v>
      </c>
    </row>
    <row r="142" spans="1:5">
      <c r="A142" t="s">
        <v>227</v>
      </c>
      <c r="B142" s="5"/>
      <c r="C142" s="5">
        <v>412764</v>
      </c>
      <c r="D142" s="5">
        <v>15832</v>
      </c>
      <c r="E142" s="5">
        <v>396932</v>
      </c>
    </row>
    <row r="143" spans="1:5">
      <c r="A143" t="s">
        <v>228</v>
      </c>
      <c r="B143" s="5">
        <v>21600</v>
      </c>
      <c r="C143" s="5"/>
      <c r="D143" s="5">
        <v>21600</v>
      </c>
      <c r="E143" s="5"/>
    </row>
    <row r="144" spans="1:5">
      <c r="A144" t="s">
        <v>229</v>
      </c>
      <c r="B144" s="5"/>
      <c r="C144" s="5"/>
      <c r="D144" s="5">
        <v>62413626.420000002</v>
      </c>
      <c r="E144" s="5">
        <v>62413626.420000002</v>
      </c>
    </row>
    <row r="145" spans="1:5">
      <c r="A145" t="s">
        <v>230</v>
      </c>
      <c r="B145" s="5"/>
      <c r="C145" s="5"/>
      <c r="D145" s="5">
        <v>36584513.420000002</v>
      </c>
      <c r="E145" s="5">
        <v>36584513.420000002</v>
      </c>
    </row>
    <row r="146" spans="1:5">
      <c r="A146" t="s">
        <v>231</v>
      </c>
      <c r="B146" s="5"/>
      <c r="C146" s="5"/>
      <c r="D146" s="5">
        <v>25829113</v>
      </c>
      <c r="E146" s="5">
        <v>25829113</v>
      </c>
    </row>
    <row r="147" spans="1:5">
      <c r="A147" t="s">
        <v>232</v>
      </c>
      <c r="B147" s="5"/>
      <c r="C147" s="5">
        <v>53117004.859999999</v>
      </c>
      <c r="D147" s="5">
        <v>12927236.51</v>
      </c>
      <c r="E147" s="5">
        <v>40189768.350000001</v>
      </c>
    </row>
    <row r="148" spans="1:5">
      <c r="A148" t="s">
        <v>233</v>
      </c>
      <c r="B148" s="5"/>
      <c r="C148" s="5">
        <v>105069</v>
      </c>
      <c r="D148" s="5">
        <v>43018</v>
      </c>
      <c r="E148" s="5">
        <v>62051</v>
      </c>
    </row>
    <row r="149" spans="1:5">
      <c r="A149" t="s">
        <v>234</v>
      </c>
      <c r="B149" s="5"/>
      <c r="C149" s="5">
        <v>4716084.18</v>
      </c>
      <c r="D149" s="5"/>
      <c r="E149" s="5">
        <v>4716084.18</v>
      </c>
    </row>
    <row r="150" spans="1:5">
      <c r="A150" t="s">
        <v>235</v>
      </c>
      <c r="B150" s="5"/>
      <c r="C150" s="5">
        <v>1154000</v>
      </c>
      <c r="D150" s="5"/>
      <c r="E150" s="5">
        <v>1154000</v>
      </c>
    </row>
    <row r="151" spans="1:5">
      <c r="A151" t="s">
        <v>236</v>
      </c>
      <c r="B151" s="5"/>
      <c r="C151" s="5">
        <v>47141851.68</v>
      </c>
      <c r="D151" s="5">
        <v>12884218.51</v>
      </c>
      <c r="E151" s="5">
        <v>34257633.170000002</v>
      </c>
    </row>
    <row r="152" spans="1:5">
      <c r="A152" t="s">
        <v>237</v>
      </c>
      <c r="B152" s="5"/>
      <c r="C152" s="5">
        <v>171049.86</v>
      </c>
      <c r="D152" s="5">
        <v>369408.55</v>
      </c>
      <c r="E152" s="5">
        <v>198358.69</v>
      </c>
    </row>
    <row r="153" spans="1:5">
      <c r="A153" t="s">
        <v>238</v>
      </c>
      <c r="B153" s="5"/>
      <c r="C153" s="5">
        <v>386</v>
      </c>
      <c r="D153" s="5">
        <v>386</v>
      </c>
      <c r="E153" s="5"/>
    </row>
    <row r="154" spans="1:5">
      <c r="A154" t="s">
        <v>239</v>
      </c>
      <c r="B154" s="5"/>
      <c r="C154" s="5">
        <v>170663.86</v>
      </c>
      <c r="D154" s="5">
        <v>369022.55</v>
      </c>
      <c r="E154" s="5">
        <v>198358.69</v>
      </c>
    </row>
    <row r="155" spans="1:5">
      <c r="A155" t="s">
        <v>240</v>
      </c>
      <c r="B155" s="5"/>
      <c r="C155" s="5">
        <v>10468750.33</v>
      </c>
      <c r="D155" s="5">
        <v>263804.84999999998</v>
      </c>
      <c r="E155" s="5">
        <v>10204945.48</v>
      </c>
    </row>
    <row r="156" spans="1:5">
      <c r="A156" t="s">
        <v>241</v>
      </c>
      <c r="B156" s="5"/>
      <c r="C156" s="5">
        <v>6181692</v>
      </c>
      <c r="D156" s="5"/>
      <c r="E156" s="5">
        <v>6181692</v>
      </c>
    </row>
    <row r="157" spans="1:5">
      <c r="A157" t="s">
        <v>242</v>
      </c>
      <c r="B157" s="5"/>
      <c r="C157" s="5">
        <v>150000</v>
      </c>
      <c r="D157" s="5"/>
      <c r="E157" s="5">
        <v>150000</v>
      </c>
    </row>
    <row r="158" spans="1:5">
      <c r="A158" t="s">
        <v>243</v>
      </c>
      <c r="B158" s="5"/>
      <c r="C158" s="5">
        <v>49284.04</v>
      </c>
      <c r="D158" s="5">
        <v>22212.42</v>
      </c>
      <c r="E158" s="5">
        <v>27071.62</v>
      </c>
    </row>
    <row r="159" spans="1:5">
      <c r="A159" t="s">
        <v>244</v>
      </c>
      <c r="B159" s="5"/>
      <c r="C159" s="5">
        <v>2009884.19</v>
      </c>
      <c r="D159" s="5">
        <v>226403.4</v>
      </c>
      <c r="E159" s="5">
        <v>1783480.79</v>
      </c>
    </row>
    <row r="160" spans="1:5">
      <c r="A160" t="s">
        <v>245</v>
      </c>
      <c r="B160" s="5"/>
      <c r="C160" s="5">
        <v>71745.47</v>
      </c>
      <c r="D160" s="5"/>
      <c r="E160" s="5">
        <v>71745.47</v>
      </c>
    </row>
    <row r="161" spans="1:5">
      <c r="A161" t="s">
        <v>246</v>
      </c>
      <c r="B161" s="5"/>
      <c r="C161" s="5">
        <v>9980</v>
      </c>
      <c r="D161" s="5"/>
      <c r="E161" s="5">
        <v>9980</v>
      </c>
    </row>
    <row r="162" spans="1:5">
      <c r="A162" t="s">
        <v>247</v>
      </c>
      <c r="B162" s="5"/>
      <c r="C162" s="5">
        <v>20501.990000000002</v>
      </c>
      <c r="D162" s="5"/>
      <c r="E162" s="5">
        <v>20501.990000000002</v>
      </c>
    </row>
    <row r="163" spans="1:5">
      <c r="A163" t="s">
        <v>248</v>
      </c>
      <c r="B163" s="5"/>
      <c r="C163" s="5">
        <v>7317</v>
      </c>
      <c r="D163" s="5"/>
      <c r="E163" s="5">
        <v>7317</v>
      </c>
    </row>
    <row r="164" spans="1:5">
      <c r="A164" t="s">
        <v>249</v>
      </c>
      <c r="B164" s="5"/>
      <c r="C164" s="5">
        <v>31518.48</v>
      </c>
      <c r="D164" s="5">
        <v>318.45</v>
      </c>
      <c r="E164" s="5">
        <v>31200.03</v>
      </c>
    </row>
    <row r="165" spans="1:5">
      <c r="A165" t="s">
        <v>250</v>
      </c>
      <c r="B165" s="5"/>
      <c r="C165" s="5">
        <v>320</v>
      </c>
      <c r="D165" s="5"/>
      <c r="E165" s="5">
        <v>320</v>
      </c>
    </row>
    <row r="166" spans="1:5">
      <c r="A166" t="s">
        <v>251</v>
      </c>
      <c r="B166" s="5"/>
      <c r="C166" s="5">
        <v>5262</v>
      </c>
      <c r="D166" s="5"/>
      <c r="E166" s="5">
        <v>5262</v>
      </c>
    </row>
    <row r="167" spans="1:5">
      <c r="A167" t="s">
        <v>252</v>
      </c>
      <c r="B167" s="5"/>
      <c r="C167" s="5">
        <v>421969</v>
      </c>
      <c r="D167" s="5"/>
      <c r="E167" s="5">
        <v>421969</v>
      </c>
    </row>
    <row r="168" spans="1:5">
      <c r="A168" t="s">
        <v>253</v>
      </c>
      <c r="B168" s="5"/>
      <c r="C168" s="5">
        <v>13271</v>
      </c>
      <c r="D168" s="5">
        <v>13271</v>
      </c>
      <c r="E168" s="5"/>
    </row>
    <row r="169" spans="1:5">
      <c r="A169" t="s">
        <v>254</v>
      </c>
      <c r="B169" s="5"/>
      <c r="C169" s="5">
        <v>134048</v>
      </c>
      <c r="D169" s="5"/>
      <c r="E169" s="5">
        <v>134048</v>
      </c>
    </row>
    <row r="170" spans="1:5">
      <c r="A170" t="s">
        <v>255</v>
      </c>
      <c r="B170" s="5"/>
      <c r="C170" s="5">
        <v>72261</v>
      </c>
      <c r="D170" s="5">
        <v>386</v>
      </c>
      <c r="E170" s="5">
        <v>71875</v>
      </c>
    </row>
    <row r="171" spans="1:5">
      <c r="A171" t="s">
        <v>256</v>
      </c>
      <c r="B171" s="5"/>
      <c r="C171" s="5">
        <v>13500</v>
      </c>
      <c r="D171" s="5"/>
      <c r="E171" s="5">
        <v>13500</v>
      </c>
    </row>
    <row r="172" spans="1:5">
      <c r="A172" t="s">
        <v>257</v>
      </c>
      <c r="B172" s="5"/>
      <c r="C172" s="5">
        <v>35030</v>
      </c>
      <c r="D172" s="5">
        <v>1128</v>
      </c>
      <c r="E172" s="5">
        <v>33902</v>
      </c>
    </row>
    <row r="173" spans="1:5">
      <c r="A173" t="s">
        <v>258</v>
      </c>
      <c r="B173" s="5"/>
      <c r="C173" s="5">
        <v>109760.1</v>
      </c>
      <c r="D173" s="5"/>
      <c r="E173" s="5">
        <v>109760.1</v>
      </c>
    </row>
    <row r="174" spans="1:5">
      <c r="A174" t="s">
        <v>259</v>
      </c>
      <c r="B174" s="5"/>
      <c r="C174" s="5">
        <v>137649.54</v>
      </c>
      <c r="D174" s="5"/>
      <c r="E174" s="5">
        <v>137649.54</v>
      </c>
    </row>
    <row r="175" spans="1:5">
      <c r="A175" t="s">
        <v>260</v>
      </c>
      <c r="B175" s="5"/>
      <c r="C175" s="5">
        <v>22.91</v>
      </c>
      <c r="D175" s="5">
        <v>85.58</v>
      </c>
      <c r="E175" s="5">
        <v>62.67</v>
      </c>
    </row>
    <row r="176" spans="1:5">
      <c r="A176" t="s">
        <v>261</v>
      </c>
      <c r="B176" s="5"/>
      <c r="C176" s="5">
        <v>215468</v>
      </c>
      <c r="D176" s="5"/>
      <c r="E176" s="5">
        <v>215468</v>
      </c>
    </row>
    <row r="177" spans="1:5">
      <c r="A177" t="s">
        <v>262</v>
      </c>
      <c r="B177" s="5"/>
      <c r="C177" s="5">
        <v>10683</v>
      </c>
      <c r="D177" s="5"/>
      <c r="E177" s="5">
        <v>10683</v>
      </c>
    </row>
    <row r="178" spans="1:5">
      <c r="A178" t="s">
        <v>263</v>
      </c>
      <c r="B178" s="5"/>
      <c r="C178" s="5">
        <v>23160</v>
      </c>
      <c r="D178" s="5"/>
      <c r="E178" s="5">
        <v>23160</v>
      </c>
    </row>
    <row r="179" spans="1:5">
      <c r="A179" t="s">
        <v>264</v>
      </c>
      <c r="B179" s="5"/>
      <c r="C179" s="5">
        <v>609398.35</v>
      </c>
      <c r="D179" s="5"/>
      <c r="E179" s="5">
        <v>609398.35</v>
      </c>
    </row>
    <row r="180" spans="1:5">
      <c r="A180" t="s">
        <v>265</v>
      </c>
      <c r="B180" s="5"/>
      <c r="C180" s="5">
        <v>960</v>
      </c>
      <c r="D180" s="5"/>
      <c r="E180" s="5">
        <v>960</v>
      </c>
    </row>
    <row r="181" spans="1:5">
      <c r="A181" t="s">
        <v>266</v>
      </c>
      <c r="B181" s="5"/>
      <c r="C181" s="5">
        <v>20936</v>
      </c>
      <c r="D181" s="5"/>
      <c r="E181" s="5">
        <v>20936</v>
      </c>
    </row>
    <row r="182" spans="1:5">
      <c r="A182" t="s">
        <v>267</v>
      </c>
      <c r="B182" s="5"/>
      <c r="C182" s="5">
        <v>71143.259999999995</v>
      </c>
      <c r="D182" s="5"/>
      <c r="E182" s="5">
        <v>71143.259999999995</v>
      </c>
    </row>
    <row r="183" spans="1:5">
      <c r="A183" t="s">
        <v>268</v>
      </c>
      <c r="B183" s="5"/>
      <c r="C183" s="5">
        <v>41985</v>
      </c>
      <c r="D183" s="5"/>
      <c r="E183" s="5">
        <v>41985</v>
      </c>
    </row>
    <row r="184" spans="1:5">
      <c r="A184" t="s">
        <v>269</v>
      </c>
      <c r="B184" s="5"/>
      <c r="C184" s="5">
        <v>283170724.05000001</v>
      </c>
      <c r="D184" s="5">
        <v>283170724.05000001</v>
      </c>
      <c r="E18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3"/>
  <sheetViews>
    <sheetView showGridLines="0" view="pageBreakPreview" topLeftCell="A13" zoomScaleNormal="100" zoomScaleSheetLayoutView="100" workbookViewId="0">
      <selection activeCell="I29" sqref="I29"/>
    </sheetView>
  </sheetViews>
  <sheetFormatPr defaultRowHeight="14"/>
  <cols>
    <col min="1" max="1" width="5" customWidth="1"/>
    <col min="2" max="2" width="55" customWidth="1"/>
    <col min="3" max="8" width="3" customWidth="1"/>
    <col min="9" max="10" width="16" style="12" customWidth="1"/>
  </cols>
  <sheetData>
    <row r="1" spans="1:10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0">
      <c r="A2" s="51"/>
      <c r="B2" s="51"/>
      <c r="C2" s="51"/>
      <c r="D2" s="51"/>
      <c r="E2" s="51"/>
      <c r="F2" s="51"/>
      <c r="G2" s="51"/>
      <c r="H2" s="51"/>
      <c r="I2" s="51"/>
      <c r="J2" s="52"/>
    </row>
    <row r="3" spans="1:10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2"/>
    </row>
    <row r="4" spans="1:10">
      <c r="A4" s="51" t="s">
        <v>270</v>
      </c>
      <c r="B4" s="51"/>
      <c r="C4" s="51"/>
      <c r="D4" s="51"/>
      <c r="E4" s="51"/>
      <c r="F4" s="51"/>
      <c r="G4" s="51"/>
      <c r="H4" s="51"/>
      <c r="I4" s="51"/>
      <c r="J4" s="52"/>
    </row>
    <row r="6" spans="1:10">
      <c r="A6" s="36">
        <v>1</v>
      </c>
      <c r="B6" s="37" t="s">
        <v>103</v>
      </c>
      <c r="C6" s="37"/>
      <c r="D6" s="37"/>
      <c r="E6" s="37"/>
      <c r="F6" s="37"/>
      <c r="G6" s="37"/>
      <c r="H6" s="37"/>
      <c r="I6" s="38"/>
      <c r="J6" s="38" t="s">
        <v>4</v>
      </c>
    </row>
    <row r="7" spans="1:10">
      <c r="A7" s="2"/>
      <c r="B7" s="36" t="s">
        <v>5</v>
      </c>
      <c r="C7" s="37"/>
      <c r="D7" s="37"/>
      <c r="E7" s="37"/>
      <c r="F7" s="37"/>
      <c r="G7" s="37"/>
      <c r="H7" s="37"/>
      <c r="I7" s="39">
        <v>46112</v>
      </c>
      <c r="J7" s="39">
        <v>45747</v>
      </c>
    </row>
    <row r="8" spans="1:10">
      <c r="B8" s="32"/>
      <c r="C8" s="1"/>
      <c r="D8" s="1"/>
      <c r="E8" s="1"/>
      <c r="F8" s="1"/>
      <c r="G8" s="1"/>
      <c r="H8" s="1"/>
    </row>
    <row r="9" spans="1:10">
      <c r="B9" s="32" t="s">
        <v>271</v>
      </c>
      <c r="C9" s="1"/>
      <c r="D9" s="1"/>
      <c r="E9" s="1"/>
      <c r="F9" s="1"/>
      <c r="G9" s="1"/>
      <c r="H9" s="1"/>
      <c r="I9" s="12">
        <f>-TB!$E$15</f>
        <v>-2046900.36</v>
      </c>
      <c r="J9" s="12">
        <f>-TB!$B$15</f>
        <v>0</v>
      </c>
    </row>
    <row r="10" spans="1:10">
      <c r="B10" s="32" t="s">
        <v>105</v>
      </c>
      <c r="C10" s="1"/>
      <c r="D10" s="1"/>
      <c r="E10" s="1"/>
      <c r="F10" s="1"/>
      <c r="G10" s="1"/>
      <c r="H10" s="1"/>
      <c r="I10" s="12">
        <f>TB!$E$16</f>
        <v>1812735</v>
      </c>
    </row>
    <row r="11" spans="1:10">
      <c r="B11" s="32" t="s">
        <v>106</v>
      </c>
      <c r="C11" s="1"/>
      <c r="D11" s="1"/>
      <c r="E11" s="1"/>
      <c r="F11" s="1"/>
      <c r="G11" s="1"/>
      <c r="H11" s="1"/>
      <c r="I11" s="12">
        <f>TB!$E$17</f>
        <v>6498683.9900000002</v>
      </c>
    </row>
    <row r="12" spans="1:10">
      <c r="B12" s="32" t="s">
        <v>272</v>
      </c>
      <c r="C12" s="1"/>
      <c r="D12" s="1"/>
      <c r="E12" s="1"/>
      <c r="F12" s="1"/>
      <c r="G12" s="1"/>
      <c r="H12" s="1"/>
      <c r="I12" s="12">
        <f>-TB!$E$18</f>
        <v>-218775</v>
      </c>
      <c r="J12" s="12">
        <f>-TB!$B$18</f>
        <v>0</v>
      </c>
    </row>
    <row r="13" spans="1:10">
      <c r="B13" s="32" t="s">
        <v>273</v>
      </c>
      <c r="C13" s="1"/>
      <c r="D13" s="1"/>
      <c r="E13" s="1"/>
      <c r="F13" s="1"/>
      <c r="G13" s="1"/>
      <c r="H13" s="1"/>
      <c r="I13" s="12">
        <f>-TB!$E$20</f>
        <v>-12806744</v>
      </c>
      <c r="J13" s="12">
        <f>-TB!$B$20</f>
        <v>0</v>
      </c>
    </row>
    <row r="14" spans="1:10">
      <c r="B14" s="32"/>
      <c r="C14" s="1"/>
      <c r="D14" s="1"/>
      <c r="E14" s="1"/>
      <c r="F14" s="1"/>
      <c r="G14" s="1"/>
      <c r="H14" s="1"/>
    </row>
    <row r="15" spans="1:10">
      <c r="A15" s="2"/>
      <c r="B15" s="40" t="s">
        <v>48</v>
      </c>
      <c r="C15" s="41"/>
      <c r="D15" s="41"/>
      <c r="E15" s="41"/>
      <c r="F15" s="41"/>
      <c r="G15" s="41"/>
      <c r="H15" s="41"/>
      <c r="I15" s="16">
        <f>SUM(I9:I13)</f>
        <v>-6761000.3700000001</v>
      </c>
      <c r="J15" s="16"/>
    </row>
    <row r="18" spans="1:10">
      <c r="A18" s="2">
        <v>2</v>
      </c>
      <c r="B18" s="2" t="s">
        <v>274</v>
      </c>
      <c r="C18" s="2"/>
      <c r="D18" s="2"/>
      <c r="E18" s="2"/>
      <c r="F18" s="2"/>
      <c r="G18" s="2"/>
      <c r="H18" s="2"/>
      <c r="I18" s="13"/>
      <c r="J18" s="13" t="s">
        <v>4</v>
      </c>
    </row>
    <row r="19" spans="1:10">
      <c r="A19" s="2"/>
      <c r="B19" s="36" t="s">
        <v>5</v>
      </c>
      <c r="C19" s="37"/>
      <c r="D19" s="37"/>
      <c r="E19" s="37"/>
      <c r="F19" s="37"/>
      <c r="G19" s="37"/>
      <c r="H19" s="37"/>
      <c r="I19" s="39">
        <v>46112</v>
      </c>
      <c r="J19" s="39">
        <v>45747</v>
      </c>
    </row>
    <row r="20" spans="1:10">
      <c r="B20" s="32"/>
      <c r="C20" s="1"/>
      <c r="D20" s="1"/>
      <c r="E20" s="1"/>
      <c r="F20" s="1"/>
      <c r="G20" s="1"/>
      <c r="H20" s="1"/>
    </row>
    <row r="21" spans="1:10">
      <c r="B21" s="32" t="s">
        <v>275</v>
      </c>
      <c r="C21" s="1"/>
      <c r="D21" s="1"/>
      <c r="E21" s="1"/>
      <c r="F21" s="1"/>
      <c r="G21" s="1"/>
      <c r="H21" s="1"/>
      <c r="I21" s="12">
        <f>'P&amp;L'!$C$28</f>
        <v>6582601.2800000012</v>
      </c>
      <c r="J21" s="12">
        <f>0</f>
        <v>0</v>
      </c>
    </row>
    <row r="22" spans="1:10">
      <c r="B22" s="32"/>
      <c r="C22" s="1"/>
      <c r="D22" s="1"/>
      <c r="E22" s="1"/>
      <c r="F22" s="1"/>
      <c r="G22" s="1"/>
      <c r="H22" s="1"/>
    </row>
    <row r="23" spans="1:10">
      <c r="A23" s="2"/>
      <c r="B23" s="40" t="s">
        <v>48</v>
      </c>
      <c r="C23" s="41"/>
      <c r="D23" s="41"/>
      <c r="E23" s="41"/>
      <c r="F23" s="41"/>
      <c r="G23" s="41"/>
      <c r="H23" s="41"/>
      <c r="I23" s="16">
        <f>SUM(I21:I21)</f>
        <v>6582601.2800000012</v>
      </c>
      <c r="J23" s="16">
        <f>SUM(J21:J21)</f>
        <v>0</v>
      </c>
    </row>
    <row r="26" spans="1:10">
      <c r="A26" s="2">
        <v>3</v>
      </c>
      <c r="B26" s="2" t="s">
        <v>276</v>
      </c>
      <c r="C26" s="2"/>
      <c r="D26" s="2"/>
      <c r="E26" s="2"/>
      <c r="F26" s="2"/>
      <c r="G26" s="2"/>
      <c r="H26" s="2"/>
      <c r="I26" s="13"/>
      <c r="J26" s="13" t="s">
        <v>4</v>
      </c>
    </row>
    <row r="27" spans="1:10">
      <c r="A27" s="2"/>
      <c r="B27" s="36" t="s">
        <v>5</v>
      </c>
      <c r="C27" s="37"/>
      <c r="D27" s="37"/>
      <c r="E27" s="37"/>
      <c r="F27" s="37"/>
      <c r="G27" s="37"/>
      <c r="H27" s="37"/>
      <c r="I27" s="39">
        <v>46112</v>
      </c>
      <c r="J27" s="39">
        <v>45747</v>
      </c>
    </row>
    <row r="28" spans="1:10">
      <c r="B28" s="32"/>
      <c r="C28" s="1"/>
      <c r="D28" s="1"/>
      <c r="E28" s="1"/>
      <c r="F28" s="1"/>
      <c r="G28" s="1"/>
      <c r="H28" s="1"/>
    </row>
    <row r="29" spans="1:10">
      <c r="B29" s="32" t="s">
        <v>108</v>
      </c>
      <c r="C29" s="1"/>
      <c r="D29" s="1"/>
      <c r="E29" s="1"/>
      <c r="F29" s="1"/>
      <c r="G29" s="1"/>
      <c r="H29" s="1"/>
      <c r="I29" s="12">
        <f>TB!$E$19</f>
        <v>5100000</v>
      </c>
      <c r="J29" s="12">
        <f>TB!$B$19</f>
        <v>0</v>
      </c>
    </row>
    <row r="30" spans="1:10">
      <c r="B30" s="32"/>
      <c r="C30" s="1"/>
      <c r="D30" s="1"/>
      <c r="E30" s="1"/>
      <c r="F30" s="1"/>
      <c r="G30" s="1"/>
      <c r="H30" s="1"/>
    </row>
    <row r="31" spans="1:10">
      <c r="A31" s="2"/>
      <c r="B31" s="40" t="s">
        <v>48</v>
      </c>
      <c r="C31" s="41"/>
      <c r="D31" s="41"/>
      <c r="E31" s="41"/>
      <c r="F31" s="41"/>
      <c r="G31" s="41"/>
      <c r="H31" s="41"/>
      <c r="I31" s="16">
        <f>SUM(I29:I29)</f>
        <v>5100000</v>
      </c>
      <c r="J31" s="16">
        <f>SUM(J29:J29)</f>
        <v>0</v>
      </c>
    </row>
    <row r="34" spans="1:10">
      <c r="A34" s="2">
        <v>4</v>
      </c>
      <c r="B34" s="2" t="s">
        <v>277</v>
      </c>
      <c r="C34" s="2"/>
      <c r="D34" s="2"/>
      <c r="E34" s="2"/>
      <c r="F34" s="2"/>
      <c r="G34" s="2"/>
      <c r="H34" s="2"/>
      <c r="I34" s="13"/>
      <c r="J34" s="13" t="s">
        <v>4</v>
      </c>
    </row>
    <row r="35" spans="1:10">
      <c r="A35" s="2"/>
      <c r="B35" s="36" t="s">
        <v>5</v>
      </c>
      <c r="C35" s="37"/>
      <c r="D35" s="37"/>
      <c r="E35" s="37"/>
      <c r="F35" s="37"/>
      <c r="G35" s="37"/>
      <c r="H35" s="37"/>
      <c r="I35" s="39">
        <v>46112</v>
      </c>
      <c r="J35" s="39">
        <v>45747</v>
      </c>
    </row>
    <row r="36" spans="1:10">
      <c r="B36" s="32"/>
      <c r="C36" s="1"/>
      <c r="D36" s="1"/>
      <c r="E36" s="1"/>
      <c r="F36" s="1"/>
      <c r="G36" s="1"/>
      <c r="H36" s="1"/>
    </row>
    <row r="37" spans="1:10">
      <c r="B37" s="32" t="s">
        <v>278</v>
      </c>
      <c r="C37" s="1"/>
      <c r="D37" s="1"/>
      <c r="E37" s="1"/>
      <c r="F37" s="1"/>
      <c r="G37" s="1"/>
      <c r="H37" s="1"/>
      <c r="I37" s="12">
        <f>0</f>
        <v>0</v>
      </c>
      <c r="J37" s="12">
        <f>0</f>
        <v>0</v>
      </c>
    </row>
    <row r="38" spans="1:10">
      <c r="A38" s="2"/>
      <c r="B38" s="33" t="s">
        <v>279</v>
      </c>
      <c r="C38" s="3"/>
      <c r="D38" s="3"/>
      <c r="E38" s="3"/>
      <c r="F38" s="3"/>
      <c r="G38" s="3"/>
      <c r="H38" s="3"/>
      <c r="I38" s="13"/>
      <c r="J38" s="13"/>
    </row>
    <row r="39" spans="1:10" hidden="1">
      <c r="B39" s="32" t="s">
        <v>161</v>
      </c>
      <c r="C39" s="1"/>
      <c r="D39" s="1"/>
      <c r="E39" s="1"/>
      <c r="F39" s="1"/>
      <c r="G39" s="1"/>
      <c r="H39" s="1"/>
      <c r="I39" s="12">
        <f>TB!$E$72</f>
        <v>0</v>
      </c>
    </row>
    <row r="40" spans="1:10" hidden="1">
      <c r="B40" s="32" t="s">
        <v>162</v>
      </c>
      <c r="C40" s="1"/>
      <c r="D40" s="1"/>
      <c r="E40" s="1"/>
      <c r="F40" s="1"/>
      <c r="G40" s="1"/>
      <c r="H40" s="1"/>
      <c r="I40" s="12">
        <f>TB!$E$73</f>
        <v>0</v>
      </c>
      <c r="J40" s="12">
        <f>TB!$B$73</f>
        <v>0</v>
      </c>
    </row>
    <row r="41" spans="1:10" hidden="1">
      <c r="B41" s="32" t="s">
        <v>163</v>
      </c>
      <c r="C41" s="1"/>
      <c r="D41" s="1"/>
      <c r="E41" s="1"/>
      <c r="F41" s="1"/>
      <c r="G41" s="1"/>
      <c r="H41" s="1"/>
      <c r="I41" s="12">
        <f>TB!$E$74</f>
        <v>0</v>
      </c>
      <c r="J41" s="12">
        <f>TB!$B$74</f>
        <v>0</v>
      </c>
    </row>
    <row r="42" spans="1:10" hidden="1">
      <c r="B42" s="32" t="s">
        <v>164</v>
      </c>
      <c r="C42" s="1"/>
      <c r="D42" s="1"/>
      <c r="E42" s="1"/>
      <c r="F42" s="1"/>
      <c r="G42" s="1"/>
      <c r="H42" s="1"/>
      <c r="I42" s="12">
        <f>TB!$E$75</f>
        <v>0</v>
      </c>
      <c r="J42" s="12">
        <f>TB!$B$75</f>
        <v>0</v>
      </c>
    </row>
    <row r="43" spans="1:10" hidden="1">
      <c r="B43" s="32" t="s">
        <v>165</v>
      </c>
      <c r="C43" s="1"/>
      <c r="D43" s="1"/>
      <c r="E43" s="1"/>
      <c r="F43" s="1"/>
      <c r="G43" s="1"/>
      <c r="H43" s="1"/>
      <c r="I43" s="12">
        <f>TB!$E$76</f>
        <v>0</v>
      </c>
      <c r="J43" s="12">
        <f>TB!$B$76</f>
        <v>0</v>
      </c>
    </row>
    <row r="44" spans="1:10" hidden="1">
      <c r="B44" s="32" t="s">
        <v>166</v>
      </c>
      <c r="C44" s="1"/>
      <c r="D44" s="1"/>
      <c r="E44" s="1"/>
      <c r="F44" s="1"/>
      <c r="G44" s="1"/>
      <c r="H44" s="1"/>
      <c r="I44" s="12">
        <f>TB!$E$77</f>
        <v>0</v>
      </c>
      <c r="J44" s="12">
        <f>TB!$B$77</f>
        <v>0</v>
      </c>
    </row>
    <row r="45" spans="1:10" hidden="1">
      <c r="B45" s="32" t="s">
        <v>167</v>
      </c>
      <c r="C45" s="1"/>
      <c r="D45" s="1"/>
      <c r="E45" s="1"/>
      <c r="F45" s="1"/>
      <c r="G45" s="1"/>
      <c r="H45" s="1"/>
      <c r="I45" s="12">
        <f>TB!$E$78</f>
        <v>0</v>
      </c>
      <c r="J45" s="12">
        <f>TB!$B$78</f>
        <v>0</v>
      </c>
    </row>
    <row r="46" spans="1:10" hidden="1">
      <c r="B46" s="32" t="s">
        <v>168</v>
      </c>
      <c r="C46" s="1"/>
      <c r="D46" s="1"/>
      <c r="E46" s="1"/>
      <c r="F46" s="1"/>
      <c r="G46" s="1"/>
      <c r="H46" s="1"/>
      <c r="I46" s="12">
        <f>TB!$E$79</f>
        <v>0</v>
      </c>
      <c r="J46" s="12">
        <f>TB!$B$79</f>
        <v>0</v>
      </c>
    </row>
    <row r="47" spans="1:10">
      <c r="B47" s="32" t="s">
        <v>169</v>
      </c>
      <c r="C47" s="1"/>
      <c r="D47" s="1"/>
      <c r="E47" s="1"/>
      <c r="F47" s="1"/>
      <c r="G47" s="1"/>
      <c r="H47" s="1"/>
      <c r="I47" s="12">
        <f>TB!$E$80</f>
        <v>270000</v>
      </c>
      <c r="J47" s="12">
        <f>TB!$B$80</f>
        <v>0</v>
      </c>
    </row>
    <row r="48" spans="1:10" hidden="1">
      <c r="B48" s="32" t="s">
        <v>170</v>
      </c>
      <c r="C48" s="1"/>
      <c r="D48" s="1"/>
      <c r="E48" s="1"/>
      <c r="F48" s="1"/>
      <c r="G48" s="1"/>
      <c r="H48" s="1"/>
      <c r="I48" s="12">
        <f>TB!$E$81</f>
        <v>0</v>
      </c>
      <c r="J48" s="12">
        <f>TB!$B$81</f>
        <v>0</v>
      </c>
    </row>
    <row r="49" spans="2:10" hidden="1">
      <c r="B49" s="32" t="s">
        <v>171</v>
      </c>
      <c r="C49" s="1"/>
      <c r="D49" s="1"/>
      <c r="E49" s="1"/>
      <c r="F49" s="1"/>
      <c r="G49" s="1"/>
      <c r="H49" s="1"/>
      <c r="I49" s="12">
        <f>TB!$E$82</f>
        <v>0</v>
      </c>
      <c r="J49" s="12">
        <f>TB!$B$82</f>
        <v>0</v>
      </c>
    </row>
    <row r="50" spans="2:10" hidden="1">
      <c r="B50" s="32" t="s">
        <v>172</v>
      </c>
      <c r="C50" s="1"/>
      <c r="D50" s="1"/>
      <c r="E50" s="1"/>
      <c r="F50" s="1"/>
      <c r="G50" s="1"/>
      <c r="H50" s="1"/>
      <c r="I50" s="12">
        <f>TB!$E$83</f>
        <v>0</v>
      </c>
      <c r="J50" s="12">
        <f>TB!$B$83</f>
        <v>0</v>
      </c>
    </row>
    <row r="51" spans="2:10" hidden="1">
      <c r="B51" s="32" t="s">
        <v>173</v>
      </c>
      <c r="C51" s="1"/>
      <c r="D51" s="1"/>
      <c r="E51" s="1"/>
      <c r="F51" s="1"/>
      <c r="G51" s="1"/>
      <c r="H51" s="1"/>
      <c r="I51" s="12">
        <f>TB!$E$84</f>
        <v>0</v>
      </c>
    </row>
    <row r="52" spans="2:10" hidden="1">
      <c r="B52" s="32" t="s">
        <v>174</v>
      </c>
      <c r="C52" s="1"/>
      <c r="D52" s="1"/>
      <c r="E52" s="1"/>
      <c r="F52" s="1"/>
      <c r="G52" s="1"/>
      <c r="H52" s="1"/>
      <c r="I52" s="12">
        <f>TB!$E$85</f>
        <v>0</v>
      </c>
      <c r="J52" s="12">
        <f>TB!$B$85</f>
        <v>0</v>
      </c>
    </row>
    <row r="53" spans="2:10" hidden="1">
      <c r="B53" s="32" t="s">
        <v>175</v>
      </c>
      <c r="C53" s="1"/>
      <c r="D53" s="1"/>
      <c r="E53" s="1"/>
      <c r="F53" s="1"/>
      <c r="G53" s="1"/>
      <c r="H53" s="1"/>
      <c r="I53" s="12">
        <f>TB!$E$86</f>
        <v>0</v>
      </c>
      <c r="J53" s="12">
        <f>TB!$B$86</f>
        <v>0</v>
      </c>
    </row>
    <row r="54" spans="2:10" hidden="1">
      <c r="B54" s="32" t="s">
        <v>176</v>
      </c>
      <c r="C54" s="1"/>
      <c r="D54" s="1"/>
      <c r="E54" s="1"/>
      <c r="F54" s="1"/>
      <c r="G54" s="1"/>
      <c r="H54" s="1"/>
      <c r="I54" s="12">
        <f>TB!$E$87</f>
        <v>0</v>
      </c>
      <c r="J54" s="12">
        <f>TB!$B$87</f>
        <v>0</v>
      </c>
    </row>
    <row r="55" spans="2:10" hidden="1">
      <c r="B55" s="32" t="s">
        <v>177</v>
      </c>
      <c r="C55" s="1"/>
      <c r="D55" s="1"/>
      <c r="E55" s="1"/>
      <c r="F55" s="1"/>
      <c r="G55" s="1"/>
      <c r="H55" s="1"/>
      <c r="I55" s="12">
        <f>TB!$E$88</f>
        <v>0</v>
      </c>
      <c r="J55" s="12">
        <f>TB!$B$88</f>
        <v>0</v>
      </c>
    </row>
    <row r="56" spans="2:10" hidden="1">
      <c r="B56" s="32" t="s">
        <v>178</v>
      </c>
      <c r="C56" s="1"/>
      <c r="D56" s="1"/>
      <c r="E56" s="1"/>
      <c r="F56" s="1"/>
      <c r="G56" s="1"/>
      <c r="H56" s="1"/>
      <c r="I56" s="12">
        <f>TB!$E$89</f>
        <v>0</v>
      </c>
      <c r="J56" s="12">
        <f>TB!$B$89</f>
        <v>0</v>
      </c>
    </row>
    <row r="57" spans="2:10" hidden="1">
      <c r="B57" s="32" t="s">
        <v>179</v>
      </c>
      <c r="C57" s="1"/>
      <c r="D57" s="1"/>
      <c r="E57" s="1"/>
      <c r="F57" s="1"/>
      <c r="G57" s="1"/>
      <c r="H57" s="1"/>
      <c r="I57" s="12">
        <f>TB!$E$90</f>
        <v>0</v>
      </c>
      <c r="J57" s="12">
        <f>TB!$B$90</f>
        <v>0</v>
      </c>
    </row>
    <row r="58" spans="2:10" hidden="1">
      <c r="B58" s="32" t="s">
        <v>180</v>
      </c>
      <c r="C58" s="1"/>
      <c r="D58" s="1"/>
      <c r="E58" s="1"/>
      <c r="F58" s="1"/>
      <c r="G58" s="1"/>
      <c r="H58" s="1"/>
      <c r="I58" s="12">
        <f>TB!$E$91</f>
        <v>0</v>
      </c>
      <c r="J58" s="12">
        <f>TB!$B$91</f>
        <v>0</v>
      </c>
    </row>
    <row r="59" spans="2:10" hidden="1">
      <c r="B59" s="32" t="s">
        <v>181</v>
      </c>
      <c r="C59" s="1"/>
      <c r="D59" s="1"/>
      <c r="E59" s="1"/>
      <c r="F59" s="1"/>
      <c r="G59" s="1"/>
      <c r="H59" s="1"/>
      <c r="I59" s="12">
        <f>TB!$E$92</f>
        <v>0</v>
      </c>
      <c r="J59" s="12">
        <f>TB!$B$92</f>
        <v>0</v>
      </c>
    </row>
    <row r="60" spans="2:10" hidden="1">
      <c r="B60" s="32" t="s">
        <v>182</v>
      </c>
      <c r="C60" s="1"/>
      <c r="D60" s="1"/>
      <c r="E60" s="1"/>
      <c r="F60" s="1"/>
      <c r="G60" s="1"/>
      <c r="H60" s="1"/>
      <c r="I60" s="12">
        <f>TB!$E$93</f>
        <v>0</v>
      </c>
      <c r="J60" s="12">
        <f>TB!$B$93</f>
        <v>0</v>
      </c>
    </row>
    <row r="61" spans="2:10" hidden="1">
      <c r="B61" s="32" t="s">
        <v>183</v>
      </c>
      <c r="C61" s="1"/>
      <c r="D61" s="1"/>
      <c r="E61" s="1"/>
      <c r="F61" s="1"/>
      <c r="G61" s="1"/>
      <c r="H61" s="1"/>
      <c r="I61" s="12">
        <f>TB!$E$94</f>
        <v>0</v>
      </c>
      <c r="J61" s="12">
        <f>TB!$B$94</f>
        <v>0</v>
      </c>
    </row>
    <row r="62" spans="2:10" hidden="1">
      <c r="B62" s="32" t="s">
        <v>184</v>
      </c>
      <c r="C62" s="1"/>
      <c r="D62" s="1"/>
      <c r="E62" s="1"/>
      <c r="F62" s="1"/>
      <c r="G62" s="1"/>
      <c r="H62" s="1"/>
      <c r="I62" s="12">
        <f>TB!$E$95</f>
        <v>0</v>
      </c>
      <c r="J62" s="12">
        <f>TB!$B$95</f>
        <v>0</v>
      </c>
    </row>
    <row r="63" spans="2:10" hidden="1">
      <c r="B63" s="32" t="s">
        <v>185</v>
      </c>
      <c r="C63" s="1"/>
      <c r="D63" s="1"/>
      <c r="E63" s="1"/>
      <c r="F63" s="1"/>
      <c r="G63" s="1"/>
      <c r="H63" s="1"/>
      <c r="I63" s="12">
        <f>TB!$E$96</f>
        <v>0</v>
      </c>
      <c r="J63" s="12">
        <f>TB!$B$96</f>
        <v>0</v>
      </c>
    </row>
    <row r="64" spans="2:10" hidden="1">
      <c r="B64" s="32" t="s">
        <v>186</v>
      </c>
      <c r="C64" s="1"/>
      <c r="D64" s="1"/>
      <c r="E64" s="1"/>
      <c r="F64" s="1"/>
      <c r="G64" s="1"/>
      <c r="H64" s="1"/>
      <c r="I64" s="12">
        <f>TB!$E$97</f>
        <v>0</v>
      </c>
      <c r="J64" s="12">
        <f>TB!$B$97</f>
        <v>0</v>
      </c>
    </row>
    <row r="65" spans="2:10" hidden="1">
      <c r="B65" s="32" t="s">
        <v>187</v>
      </c>
      <c r="C65" s="1"/>
      <c r="D65" s="1"/>
      <c r="E65" s="1"/>
      <c r="F65" s="1"/>
      <c r="G65" s="1"/>
      <c r="H65" s="1"/>
      <c r="I65" s="12">
        <f>TB!$E$98</f>
        <v>0</v>
      </c>
      <c r="J65" s="12">
        <f>TB!$B$98</f>
        <v>0</v>
      </c>
    </row>
    <row r="66" spans="2:10">
      <c r="B66" s="32" t="s">
        <v>188</v>
      </c>
      <c r="C66" s="1"/>
      <c r="D66" s="1"/>
      <c r="E66" s="1"/>
      <c r="F66" s="1"/>
      <c r="G66" s="1"/>
      <c r="H66" s="1"/>
      <c r="I66" s="12">
        <f>TB!$E$99</f>
        <v>0</v>
      </c>
      <c r="J66" s="12">
        <f>TB!$B$99</f>
        <v>0</v>
      </c>
    </row>
    <row r="67" spans="2:10">
      <c r="B67" s="32" t="s">
        <v>189</v>
      </c>
      <c r="C67" s="1"/>
      <c r="D67" s="1"/>
      <c r="E67" s="1"/>
      <c r="F67" s="1"/>
      <c r="G67" s="1"/>
      <c r="H67" s="1"/>
      <c r="I67" s="12">
        <f>TB!$E$100</f>
        <v>118219.09</v>
      </c>
      <c r="J67" s="12">
        <f>TB!$B$100</f>
        <v>0</v>
      </c>
    </row>
    <row r="68" spans="2:10">
      <c r="B68" s="32" t="s">
        <v>190</v>
      </c>
      <c r="C68" s="1"/>
      <c r="D68" s="1"/>
      <c r="E68" s="1"/>
      <c r="F68" s="1"/>
      <c r="G68" s="1"/>
      <c r="H68" s="1"/>
      <c r="I68" s="12">
        <f>TB!$E$101</f>
        <v>0</v>
      </c>
      <c r="J68" s="12">
        <f>TB!$B$101</f>
        <v>0</v>
      </c>
    </row>
    <row r="69" spans="2:10">
      <c r="B69" s="32" t="s">
        <v>191</v>
      </c>
      <c r="C69" s="1"/>
      <c r="D69" s="1"/>
      <c r="E69" s="1"/>
      <c r="F69" s="1"/>
      <c r="G69" s="1"/>
      <c r="H69" s="1"/>
      <c r="I69" s="12">
        <f>TB!$E$102</f>
        <v>135000</v>
      </c>
      <c r="J69" s="12">
        <f>TB!$B$102</f>
        <v>0</v>
      </c>
    </row>
    <row r="70" spans="2:10">
      <c r="B70" s="32" t="s">
        <v>192</v>
      </c>
      <c r="C70" s="1"/>
      <c r="D70" s="1"/>
      <c r="E70" s="1"/>
      <c r="F70" s="1"/>
      <c r="G70" s="1"/>
      <c r="H70" s="1"/>
      <c r="I70" s="12">
        <f>TB!$E$103</f>
        <v>0</v>
      </c>
      <c r="J70" s="12">
        <f>TB!$B$103</f>
        <v>0</v>
      </c>
    </row>
    <row r="71" spans="2:10" hidden="1">
      <c r="B71" s="32" t="s">
        <v>193</v>
      </c>
      <c r="C71" s="1"/>
      <c r="D71" s="1"/>
      <c r="E71" s="1"/>
      <c r="F71" s="1"/>
      <c r="G71" s="1"/>
      <c r="H71" s="1"/>
      <c r="I71" s="12">
        <f>TB!$E$104</f>
        <v>0</v>
      </c>
      <c r="J71" s="12">
        <f>TB!$B$104</f>
        <v>0</v>
      </c>
    </row>
    <row r="72" spans="2:10" hidden="1">
      <c r="B72" s="32" t="s">
        <v>194</v>
      </c>
      <c r="C72" s="1"/>
      <c r="D72" s="1"/>
      <c r="E72" s="1"/>
      <c r="F72" s="1"/>
      <c r="G72" s="1"/>
      <c r="H72" s="1"/>
      <c r="I72" s="12">
        <f>TB!$E$105</f>
        <v>0</v>
      </c>
      <c r="J72" s="12">
        <f>TB!$B$105</f>
        <v>0</v>
      </c>
    </row>
    <row r="73" spans="2:10" hidden="1">
      <c r="B73" s="32" t="s">
        <v>195</v>
      </c>
      <c r="C73" s="1"/>
      <c r="D73" s="1"/>
      <c r="E73" s="1"/>
      <c r="F73" s="1"/>
      <c r="G73" s="1"/>
      <c r="H73" s="1"/>
      <c r="I73" s="12">
        <f>TB!$E$106</f>
        <v>0</v>
      </c>
      <c r="J73" s="12">
        <f>TB!$B$106</f>
        <v>0</v>
      </c>
    </row>
    <row r="74" spans="2:10" hidden="1">
      <c r="B74" s="32" t="s">
        <v>196</v>
      </c>
      <c r="C74" s="1"/>
      <c r="D74" s="1"/>
      <c r="E74" s="1"/>
      <c r="F74" s="1"/>
      <c r="G74" s="1"/>
      <c r="H74" s="1"/>
      <c r="I74" s="12">
        <f>TB!$E$107</f>
        <v>0</v>
      </c>
      <c r="J74" s="12">
        <f>TB!$B$107</f>
        <v>0</v>
      </c>
    </row>
    <row r="75" spans="2:10" hidden="1">
      <c r="B75" s="32" t="s">
        <v>197</v>
      </c>
      <c r="C75" s="1"/>
      <c r="D75" s="1"/>
      <c r="E75" s="1"/>
      <c r="F75" s="1"/>
      <c r="G75" s="1"/>
      <c r="H75" s="1"/>
      <c r="I75" s="12">
        <f>TB!$E$108</f>
        <v>0</v>
      </c>
      <c r="J75" s="12">
        <f>TB!$B$108</f>
        <v>0</v>
      </c>
    </row>
    <row r="76" spans="2:10" hidden="1">
      <c r="B76" s="32" t="s">
        <v>198</v>
      </c>
      <c r="C76" s="1"/>
      <c r="D76" s="1"/>
      <c r="E76" s="1"/>
      <c r="F76" s="1"/>
      <c r="G76" s="1"/>
      <c r="H76" s="1"/>
      <c r="I76" s="12">
        <f>TB!$E$109</f>
        <v>0</v>
      </c>
      <c r="J76" s="12">
        <f>TB!$B$109</f>
        <v>0</v>
      </c>
    </row>
    <row r="77" spans="2:10" hidden="1">
      <c r="B77" s="32" t="s">
        <v>199</v>
      </c>
      <c r="C77" s="1"/>
      <c r="D77" s="1"/>
      <c r="E77" s="1"/>
      <c r="F77" s="1"/>
      <c r="G77" s="1"/>
      <c r="H77" s="1"/>
      <c r="I77" s="12">
        <f>TB!$E$110</f>
        <v>0</v>
      </c>
      <c r="J77" s="12">
        <f>TB!$B$110</f>
        <v>0</v>
      </c>
    </row>
    <row r="78" spans="2:10" hidden="1">
      <c r="B78" s="32" t="s">
        <v>200</v>
      </c>
      <c r="C78" s="1"/>
      <c r="D78" s="1"/>
      <c r="E78" s="1"/>
      <c r="F78" s="1"/>
      <c r="G78" s="1"/>
      <c r="H78" s="1"/>
      <c r="I78" s="12">
        <f>TB!$E$111</f>
        <v>0</v>
      </c>
      <c r="J78" s="12">
        <f>TB!$B$111</f>
        <v>0</v>
      </c>
    </row>
    <row r="79" spans="2:10" hidden="1">
      <c r="B79" s="32" t="s">
        <v>201</v>
      </c>
      <c r="C79" s="1"/>
      <c r="D79" s="1"/>
      <c r="E79" s="1"/>
      <c r="F79" s="1"/>
      <c r="G79" s="1"/>
      <c r="H79" s="1"/>
      <c r="I79" s="12">
        <f>TB!$E$112</f>
        <v>0</v>
      </c>
      <c r="J79" s="12">
        <f>TB!$B$112</f>
        <v>0</v>
      </c>
    </row>
    <row r="80" spans="2:10" hidden="1">
      <c r="B80" s="32" t="s">
        <v>202</v>
      </c>
      <c r="C80" s="1"/>
      <c r="D80" s="1"/>
      <c r="E80" s="1"/>
      <c r="F80" s="1"/>
      <c r="G80" s="1"/>
      <c r="H80" s="1"/>
      <c r="I80" s="12">
        <f>TB!$E$113</f>
        <v>0</v>
      </c>
      <c r="J80" s="12">
        <f>TB!$B$113</f>
        <v>0</v>
      </c>
    </row>
    <row r="81" spans="1:10" hidden="1">
      <c r="B81" s="32" t="s">
        <v>203</v>
      </c>
      <c r="C81" s="1"/>
      <c r="D81" s="1"/>
      <c r="E81" s="1"/>
      <c r="F81" s="1"/>
      <c r="G81" s="1"/>
      <c r="H81" s="1"/>
      <c r="I81" s="12">
        <f>TB!$E$114</f>
        <v>0</v>
      </c>
      <c r="J81" s="12">
        <f>TB!$B$114</f>
        <v>0</v>
      </c>
    </row>
    <row r="82" spans="1:10" hidden="1">
      <c r="B82" s="32" t="s">
        <v>280</v>
      </c>
      <c r="C82" s="1"/>
      <c r="D82" s="1"/>
      <c r="E82" s="1"/>
      <c r="F82" s="1"/>
      <c r="G82" s="1"/>
      <c r="H82" s="1"/>
      <c r="I82" s="12">
        <f>TB!$E$71-SUM(I39:I81)</f>
        <v>0</v>
      </c>
    </row>
    <row r="83" spans="1:10">
      <c r="B83" s="32"/>
      <c r="C83" s="1"/>
      <c r="D83" s="1"/>
      <c r="E83" s="1"/>
      <c r="F83" s="1"/>
      <c r="G83" s="1"/>
      <c r="H83" s="1"/>
    </row>
    <row r="84" spans="1:10">
      <c r="A84" s="2"/>
      <c r="B84" s="40" t="s">
        <v>48</v>
      </c>
      <c r="C84" s="41"/>
      <c r="D84" s="41"/>
      <c r="E84" s="41"/>
      <c r="F84" s="41"/>
      <c r="G84" s="41"/>
      <c r="H84" s="41"/>
      <c r="I84" s="16">
        <f>SUM(I37:I82)</f>
        <v>523219.08999999997</v>
      </c>
      <c r="J84" s="16"/>
    </row>
    <row r="87" spans="1:10">
      <c r="A87" s="2">
        <v>5</v>
      </c>
      <c r="B87" s="2" t="s">
        <v>281</v>
      </c>
      <c r="C87" s="2"/>
      <c r="D87" s="2"/>
      <c r="E87" s="2"/>
      <c r="F87" s="2"/>
      <c r="G87" s="2"/>
      <c r="H87" s="2"/>
      <c r="I87" s="13"/>
      <c r="J87" s="13" t="s">
        <v>4</v>
      </c>
    </row>
    <row r="88" spans="1:10">
      <c r="A88" s="2"/>
      <c r="B88" s="36" t="s">
        <v>5</v>
      </c>
      <c r="C88" s="37"/>
      <c r="D88" s="37"/>
      <c r="E88" s="37"/>
      <c r="F88" s="37"/>
      <c r="G88" s="37"/>
      <c r="H88" s="37"/>
      <c r="I88" s="39">
        <v>46112</v>
      </c>
      <c r="J88" s="39">
        <v>45747</v>
      </c>
    </row>
    <row r="89" spans="1:10">
      <c r="B89" s="32"/>
      <c r="C89" s="1"/>
      <c r="D89" s="1"/>
      <c r="E89" s="1"/>
      <c r="F89" s="1"/>
      <c r="G89" s="1"/>
      <c r="H89" s="1"/>
    </row>
    <row r="90" spans="1:10">
      <c r="A90" s="2"/>
      <c r="B90" s="33" t="s">
        <v>111</v>
      </c>
      <c r="C90" s="3"/>
      <c r="D90" s="3"/>
      <c r="E90" s="3"/>
      <c r="F90" s="3"/>
      <c r="G90" s="3"/>
      <c r="H90" s="3"/>
      <c r="I90" s="13"/>
      <c r="J90" s="13"/>
    </row>
    <row r="91" spans="1:10" hidden="1">
      <c r="B91" s="32" t="s">
        <v>112</v>
      </c>
      <c r="C91" s="1"/>
      <c r="D91" s="1"/>
      <c r="E91" s="1"/>
      <c r="F91" s="1"/>
      <c r="G91" s="1"/>
      <c r="H91" s="1"/>
      <c r="I91" s="12">
        <f>TB!$E$23</f>
        <v>0</v>
      </c>
      <c r="J91" s="12">
        <f>TB!$B$23</f>
        <v>0</v>
      </c>
    </row>
    <row r="92" spans="1:10" hidden="1">
      <c r="B92" s="32" t="s">
        <v>113</v>
      </c>
      <c r="C92" s="1"/>
      <c r="D92" s="1"/>
      <c r="E92" s="1"/>
      <c r="F92" s="1"/>
      <c r="G92" s="1"/>
      <c r="H92" s="1"/>
      <c r="I92" s="12">
        <f>TB!$E$24</f>
        <v>0</v>
      </c>
      <c r="J92" s="12">
        <f>TB!$B$24</f>
        <v>0</v>
      </c>
    </row>
    <row r="93" spans="1:10">
      <c r="B93" s="32" t="s">
        <v>114</v>
      </c>
      <c r="C93" s="1"/>
      <c r="D93" s="1"/>
      <c r="E93" s="1"/>
      <c r="F93" s="1"/>
      <c r="G93" s="1"/>
      <c r="H93" s="1"/>
      <c r="I93" s="12">
        <f>TB!$E$25</f>
        <v>735822.55</v>
      </c>
    </row>
    <row r="94" spans="1:10" hidden="1">
      <c r="B94" s="32" t="s">
        <v>115</v>
      </c>
      <c r="C94" s="1"/>
      <c r="D94" s="1"/>
      <c r="E94" s="1"/>
      <c r="F94" s="1"/>
      <c r="G94" s="1"/>
      <c r="H94" s="1"/>
      <c r="I94" s="12">
        <f>TB!$E$26</f>
        <v>0</v>
      </c>
    </row>
    <row r="95" spans="1:10" hidden="1">
      <c r="B95" s="32" t="s">
        <v>116</v>
      </c>
      <c r="C95" s="1"/>
      <c r="D95" s="1"/>
      <c r="E95" s="1"/>
      <c r="F95" s="1"/>
      <c r="G95" s="1"/>
      <c r="H95" s="1"/>
      <c r="I95" s="12">
        <f>TB!$E$27</f>
        <v>0</v>
      </c>
      <c r="J95" s="12">
        <f>TB!$B$27</f>
        <v>0</v>
      </c>
    </row>
    <row r="96" spans="1:10" hidden="1">
      <c r="B96" s="32" t="s">
        <v>117</v>
      </c>
      <c r="C96" s="1"/>
      <c r="D96" s="1"/>
      <c r="E96" s="1"/>
      <c r="F96" s="1"/>
      <c r="G96" s="1"/>
      <c r="H96" s="1"/>
      <c r="I96" s="12">
        <f>TB!$E$28</f>
        <v>0</v>
      </c>
      <c r="J96" s="12">
        <f>TB!$B$28</f>
        <v>0</v>
      </c>
    </row>
    <row r="97" spans="1:10" hidden="1">
      <c r="B97" s="32" t="s">
        <v>118</v>
      </c>
      <c r="C97" s="1"/>
      <c r="D97" s="1"/>
      <c r="E97" s="1"/>
      <c r="F97" s="1"/>
      <c r="G97" s="1"/>
      <c r="H97" s="1"/>
      <c r="I97" s="12">
        <f>TB!$E$29</f>
        <v>0</v>
      </c>
      <c r="J97" s="12">
        <f>TB!$B$29</f>
        <v>0</v>
      </c>
    </row>
    <row r="98" spans="1:10" hidden="1">
      <c r="A98" s="2"/>
      <c r="B98" s="33" t="s">
        <v>119</v>
      </c>
      <c r="C98" s="3"/>
      <c r="D98" s="3"/>
      <c r="E98" s="3"/>
      <c r="F98" s="3"/>
      <c r="G98" s="3"/>
      <c r="H98" s="3"/>
      <c r="I98" s="13"/>
      <c r="J98" s="13"/>
    </row>
    <row r="99" spans="1:10" hidden="1">
      <c r="B99" s="32" t="s">
        <v>120</v>
      </c>
      <c r="C99" s="1"/>
      <c r="D99" s="1"/>
      <c r="E99" s="1"/>
      <c r="F99" s="1"/>
      <c r="G99" s="1"/>
      <c r="H99" s="1"/>
      <c r="I99" s="12">
        <f>TB!$E$31</f>
        <v>0</v>
      </c>
    </row>
    <row r="100" spans="1:10" hidden="1">
      <c r="B100" s="32" t="s">
        <v>121</v>
      </c>
      <c r="C100" s="1"/>
      <c r="D100" s="1"/>
      <c r="E100" s="1"/>
      <c r="F100" s="1"/>
      <c r="G100" s="1"/>
      <c r="H100" s="1"/>
      <c r="I100" s="12">
        <f>TB!$E$32</f>
        <v>0</v>
      </c>
      <c r="J100" s="12">
        <f>TB!$B$32</f>
        <v>0</v>
      </c>
    </row>
    <row r="101" spans="1:10" hidden="1">
      <c r="B101" s="32" t="s">
        <v>122</v>
      </c>
      <c r="C101" s="1"/>
      <c r="D101" s="1"/>
      <c r="E101" s="1"/>
      <c r="F101" s="1"/>
      <c r="G101" s="1"/>
      <c r="H101" s="1"/>
      <c r="I101" s="12">
        <f>TB!$E$33</f>
        <v>0</v>
      </c>
      <c r="J101" s="12">
        <f>TB!$B$33</f>
        <v>0</v>
      </c>
    </row>
    <row r="102" spans="1:10" hidden="1">
      <c r="B102" s="32" t="s">
        <v>123</v>
      </c>
      <c r="C102" s="1"/>
      <c r="D102" s="1"/>
      <c r="E102" s="1"/>
      <c r="F102" s="1"/>
      <c r="G102" s="1"/>
      <c r="H102" s="1"/>
      <c r="I102" s="12">
        <f>TB!$E$34</f>
        <v>0</v>
      </c>
      <c r="J102" s="12">
        <f>TB!$B$34</f>
        <v>0</v>
      </c>
    </row>
    <row r="103" spans="1:10" hidden="1">
      <c r="B103" s="32" t="s">
        <v>124</v>
      </c>
      <c r="C103" s="1"/>
      <c r="D103" s="1"/>
      <c r="E103" s="1"/>
      <c r="F103" s="1"/>
      <c r="G103" s="1"/>
      <c r="H103" s="1"/>
      <c r="I103" s="12">
        <f>TB!$E$35</f>
        <v>0</v>
      </c>
      <c r="J103" s="12">
        <f>TB!$B$35</f>
        <v>0</v>
      </c>
    </row>
    <row r="104" spans="1:10" hidden="1">
      <c r="B104" s="32" t="s">
        <v>125</v>
      </c>
      <c r="C104" s="1"/>
      <c r="D104" s="1"/>
      <c r="E104" s="1"/>
      <c r="F104" s="1"/>
      <c r="G104" s="1"/>
      <c r="H104" s="1"/>
      <c r="I104" s="12">
        <f>TB!$E$36</f>
        <v>0</v>
      </c>
      <c r="J104" s="12">
        <f>TB!$B$36</f>
        <v>0</v>
      </c>
    </row>
    <row r="105" spans="1:10" hidden="1">
      <c r="B105" s="32" t="s">
        <v>126</v>
      </c>
      <c r="C105" s="1"/>
      <c r="D105" s="1"/>
      <c r="E105" s="1"/>
      <c r="F105" s="1"/>
      <c r="G105" s="1"/>
      <c r="H105" s="1"/>
      <c r="I105" s="12">
        <f>TB!$E$37</f>
        <v>0</v>
      </c>
      <c r="J105" s="12">
        <f>TB!$B$37</f>
        <v>0</v>
      </c>
    </row>
    <row r="106" spans="1:10" hidden="1">
      <c r="B106" s="32" t="s">
        <v>127</v>
      </c>
      <c r="C106" s="1"/>
      <c r="D106" s="1"/>
      <c r="E106" s="1"/>
      <c r="F106" s="1"/>
      <c r="G106" s="1"/>
      <c r="H106" s="1"/>
      <c r="I106" s="12">
        <f>TB!$E$38</f>
        <v>0</v>
      </c>
    </row>
    <row r="107" spans="1:10" hidden="1">
      <c r="B107" s="32" t="s">
        <v>128</v>
      </c>
      <c r="C107" s="1"/>
      <c r="D107" s="1"/>
      <c r="E107" s="1"/>
      <c r="F107" s="1"/>
      <c r="G107" s="1"/>
      <c r="H107" s="1"/>
      <c r="I107" s="12">
        <f>TB!$E$39</f>
        <v>0</v>
      </c>
      <c r="J107" s="12">
        <f>TB!$B$39</f>
        <v>0</v>
      </c>
    </row>
    <row r="108" spans="1:10" hidden="1">
      <c r="B108" s="32" t="s">
        <v>129</v>
      </c>
      <c r="C108" s="1"/>
      <c r="D108" s="1"/>
      <c r="E108" s="1"/>
      <c r="F108" s="1"/>
      <c r="G108" s="1"/>
      <c r="H108" s="1"/>
      <c r="I108" s="12">
        <f>TB!$E$40</f>
        <v>0</v>
      </c>
      <c r="J108" s="12">
        <f>TB!$B$40</f>
        <v>0</v>
      </c>
    </row>
    <row r="109" spans="1:10" hidden="1">
      <c r="B109" s="32" t="s">
        <v>130</v>
      </c>
      <c r="C109" s="1"/>
      <c r="D109" s="1"/>
      <c r="E109" s="1"/>
      <c r="F109" s="1"/>
      <c r="G109" s="1"/>
      <c r="H109" s="1"/>
      <c r="I109" s="12">
        <f>TB!$E$41</f>
        <v>0</v>
      </c>
      <c r="J109" s="12">
        <f>TB!$B$41</f>
        <v>0</v>
      </c>
    </row>
    <row r="110" spans="1:10" hidden="1">
      <c r="B110" s="32" t="s">
        <v>131</v>
      </c>
      <c r="C110" s="1"/>
      <c r="D110" s="1"/>
      <c r="E110" s="1"/>
      <c r="F110" s="1"/>
      <c r="G110" s="1"/>
      <c r="H110" s="1"/>
      <c r="I110" s="12">
        <f>TB!$E$42</f>
        <v>0</v>
      </c>
      <c r="J110" s="12">
        <f>TB!$B$42</f>
        <v>0</v>
      </c>
    </row>
    <row r="111" spans="1:10" hidden="1">
      <c r="B111" s="32" t="s">
        <v>132</v>
      </c>
      <c r="C111" s="1"/>
      <c r="D111" s="1"/>
      <c r="E111" s="1"/>
      <c r="F111" s="1"/>
      <c r="G111" s="1"/>
      <c r="H111" s="1"/>
      <c r="I111" s="12">
        <f>TB!$E$43</f>
        <v>0</v>
      </c>
      <c r="J111" s="12">
        <f>TB!$B$43</f>
        <v>0</v>
      </c>
    </row>
    <row r="112" spans="1:10" hidden="1">
      <c r="B112" s="32" t="s">
        <v>133</v>
      </c>
      <c r="C112" s="1"/>
      <c r="D112" s="1"/>
      <c r="E112" s="1"/>
      <c r="F112" s="1"/>
      <c r="G112" s="1"/>
      <c r="H112" s="1"/>
      <c r="I112" s="12">
        <f>TB!$E$44</f>
        <v>0</v>
      </c>
      <c r="J112" s="12">
        <f>TB!$B$44</f>
        <v>0</v>
      </c>
    </row>
    <row r="113" spans="2:10" hidden="1">
      <c r="B113" s="32" t="s">
        <v>134</v>
      </c>
      <c r="C113" s="1"/>
      <c r="D113" s="1"/>
      <c r="E113" s="1"/>
      <c r="F113" s="1"/>
      <c r="G113" s="1"/>
      <c r="H113" s="1"/>
      <c r="I113" s="12">
        <f>TB!$E$45</f>
        <v>0</v>
      </c>
      <c r="J113" s="12">
        <f>TB!$B$45</f>
        <v>0</v>
      </c>
    </row>
    <row r="114" spans="2:10" hidden="1">
      <c r="B114" s="32" t="s">
        <v>135</v>
      </c>
      <c r="C114" s="1"/>
      <c r="D114" s="1"/>
      <c r="E114" s="1"/>
      <c r="F114" s="1"/>
      <c r="G114" s="1"/>
      <c r="H114" s="1"/>
      <c r="I114" s="12">
        <f>TB!$E$46</f>
        <v>0</v>
      </c>
      <c r="J114" s="12">
        <f>TB!$B$46</f>
        <v>0</v>
      </c>
    </row>
    <row r="115" spans="2:10" hidden="1">
      <c r="B115" s="32" t="s">
        <v>136</v>
      </c>
      <c r="C115" s="1"/>
      <c r="D115" s="1"/>
      <c r="E115" s="1"/>
      <c r="F115" s="1"/>
      <c r="G115" s="1"/>
      <c r="H115" s="1"/>
      <c r="I115" s="12">
        <f>TB!$E$47</f>
        <v>0</v>
      </c>
      <c r="J115" s="12">
        <f>TB!$B$47</f>
        <v>0</v>
      </c>
    </row>
    <row r="116" spans="2:10" hidden="1">
      <c r="B116" s="32" t="s">
        <v>137</v>
      </c>
      <c r="C116" s="1"/>
      <c r="D116" s="1"/>
      <c r="E116" s="1"/>
      <c r="F116" s="1"/>
      <c r="G116" s="1"/>
      <c r="H116" s="1"/>
      <c r="I116" s="12">
        <f>TB!$E$48</f>
        <v>0</v>
      </c>
      <c r="J116" s="12">
        <f>TB!$B$48</f>
        <v>0</v>
      </c>
    </row>
    <row r="117" spans="2:10" hidden="1">
      <c r="B117" s="32" t="s">
        <v>138</v>
      </c>
      <c r="C117" s="1"/>
      <c r="D117" s="1"/>
      <c r="E117" s="1"/>
      <c r="F117" s="1"/>
      <c r="G117" s="1"/>
      <c r="H117" s="1"/>
      <c r="I117" s="12">
        <f>TB!$E$49</f>
        <v>0</v>
      </c>
      <c r="J117" s="12">
        <f>TB!$B$49</f>
        <v>0</v>
      </c>
    </row>
    <row r="118" spans="2:10" hidden="1">
      <c r="B118" s="32" t="s">
        <v>139</v>
      </c>
      <c r="C118" s="1"/>
      <c r="D118" s="1"/>
      <c r="E118" s="1"/>
      <c r="F118" s="1"/>
      <c r="G118" s="1"/>
      <c r="H118" s="1"/>
      <c r="I118" s="12">
        <f>TB!$E$50</f>
        <v>0</v>
      </c>
      <c r="J118" s="12">
        <f>TB!$B$50</f>
        <v>0</v>
      </c>
    </row>
    <row r="119" spans="2:10" hidden="1">
      <c r="B119" s="32" t="s">
        <v>140</v>
      </c>
      <c r="C119" s="1"/>
      <c r="D119" s="1"/>
      <c r="E119" s="1"/>
      <c r="F119" s="1"/>
      <c r="G119" s="1"/>
      <c r="H119" s="1"/>
      <c r="I119" s="12">
        <f>TB!$E$51</f>
        <v>0</v>
      </c>
      <c r="J119" s="12">
        <f>TB!$B$51</f>
        <v>0</v>
      </c>
    </row>
    <row r="120" spans="2:10" hidden="1">
      <c r="B120" s="32" t="s">
        <v>141</v>
      </c>
      <c r="C120" s="1"/>
      <c r="D120" s="1"/>
      <c r="E120" s="1"/>
      <c r="F120" s="1"/>
      <c r="G120" s="1"/>
      <c r="H120" s="1"/>
      <c r="I120" s="12">
        <f>TB!$E$52</f>
        <v>0</v>
      </c>
      <c r="J120" s="12">
        <f>TB!$B$52</f>
        <v>0</v>
      </c>
    </row>
    <row r="121" spans="2:10" hidden="1">
      <c r="B121" s="32" t="s">
        <v>142</v>
      </c>
      <c r="C121" s="1"/>
      <c r="D121" s="1"/>
      <c r="E121" s="1"/>
      <c r="F121" s="1"/>
      <c r="G121" s="1"/>
      <c r="H121" s="1"/>
      <c r="I121" s="12">
        <f>TB!$E$53</f>
        <v>0</v>
      </c>
      <c r="J121" s="12">
        <f>TB!$B$53</f>
        <v>0</v>
      </c>
    </row>
    <row r="122" spans="2:10" hidden="1">
      <c r="B122" s="32" t="s">
        <v>143</v>
      </c>
      <c r="C122" s="1"/>
      <c r="D122" s="1"/>
      <c r="E122" s="1"/>
      <c r="F122" s="1"/>
      <c r="G122" s="1"/>
      <c r="H122" s="1"/>
      <c r="I122" s="12">
        <f>TB!$E$54</f>
        <v>0</v>
      </c>
      <c r="J122" s="12">
        <f>TB!$B$54</f>
        <v>0</v>
      </c>
    </row>
    <row r="123" spans="2:10" hidden="1">
      <c r="B123" s="32" t="s">
        <v>144</v>
      </c>
      <c r="C123" s="1"/>
      <c r="D123" s="1"/>
      <c r="E123" s="1"/>
      <c r="F123" s="1"/>
      <c r="G123" s="1"/>
      <c r="H123" s="1"/>
      <c r="I123" s="12">
        <f>TB!$E$55</f>
        <v>0</v>
      </c>
      <c r="J123" s="12">
        <f>TB!$B$55</f>
        <v>0</v>
      </c>
    </row>
    <row r="124" spans="2:10" hidden="1">
      <c r="B124" s="32" t="s">
        <v>145</v>
      </c>
      <c r="C124" s="1"/>
      <c r="D124" s="1"/>
      <c r="E124" s="1"/>
      <c r="F124" s="1"/>
      <c r="G124" s="1"/>
      <c r="H124" s="1"/>
      <c r="I124" s="12">
        <f>TB!$E$56</f>
        <v>0</v>
      </c>
      <c r="J124" s="12">
        <f>TB!$B$56</f>
        <v>0</v>
      </c>
    </row>
    <row r="125" spans="2:10" hidden="1">
      <c r="B125" s="32" t="s">
        <v>146</v>
      </c>
      <c r="C125" s="1"/>
      <c r="D125" s="1"/>
      <c r="E125" s="1"/>
      <c r="F125" s="1"/>
      <c r="G125" s="1"/>
      <c r="H125" s="1"/>
      <c r="I125" s="12">
        <f>TB!$E$57</f>
        <v>0</v>
      </c>
      <c r="J125" s="12">
        <f>TB!$B$57</f>
        <v>0</v>
      </c>
    </row>
    <row r="126" spans="2:10" hidden="1">
      <c r="B126" s="32" t="s">
        <v>147</v>
      </c>
      <c r="C126" s="1"/>
      <c r="D126" s="1"/>
      <c r="E126" s="1"/>
      <c r="F126" s="1"/>
      <c r="G126" s="1"/>
      <c r="H126" s="1"/>
      <c r="I126" s="12">
        <f>TB!$E$58</f>
        <v>0</v>
      </c>
      <c r="J126" s="12">
        <f>TB!$B$58</f>
        <v>0</v>
      </c>
    </row>
    <row r="127" spans="2:10" hidden="1">
      <c r="B127" s="32" t="s">
        <v>148</v>
      </c>
      <c r="C127" s="1"/>
      <c r="D127" s="1"/>
      <c r="E127" s="1"/>
      <c r="F127" s="1"/>
      <c r="G127" s="1"/>
      <c r="H127" s="1"/>
      <c r="I127" s="12">
        <f>TB!$E$59</f>
        <v>0</v>
      </c>
      <c r="J127" s="12">
        <f>TB!$B$59</f>
        <v>0</v>
      </c>
    </row>
    <row r="128" spans="2:10" hidden="1">
      <c r="B128" s="32" t="s">
        <v>149</v>
      </c>
      <c r="C128" s="1"/>
      <c r="D128" s="1"/>
      <c r="E128" s="1"/>
      <c r="F128" s="1"/>
      <c r="G128" s="1"/>
      <c r="H128" s="1"/>
      <c r="I128" s="12">
        <f>TB!$E$60</f>
        <v>0</v>
      </c>
      <c r="J128" s="12">
        <f>TB!$B$60</f>
        <v>0</v>
      </c>
    </row>
    <row r="129" spans="1:10">
      <c r="B129" s="32" t="s">
        <v>150</v>
      </c>
      <c r="C129" s="1"/>
      <c r="D129" s="1"/>
      <c r="E129" s="1"/>
      <c r="F129" s="1"/>
      <c r="G129" s="1"/>
      <c r="H129" s="1"/>
      <c r="I129" s="12">
        <f>TB!$E$61</f>
        <v>177191</v>
      </c>
    </row>
    <row r="130" spans="1:10">
      <c r="B130" s="32" t="s">
        <v>151</v>
      </c>
      <c r="C130" s="1"/>
      <c r="D130" s="1"/>
      <c r="E130" s="1"/>
      <c r="F130" s="1"/>
      <c r="G130" s="1"/>
      <c r="H130" s="1"/>
      <c r="I130" s="12">
        <f>TB!$E$62</f>
        <v>4733190</v>
      </c>
    </row>
    <row r="131" spans="1:10">
      <c r="B131" s="32" t="s">
        <v>152</v>
      </c>
      <c r="C131" s="1"/>
      <c r="D131" s="1"/>
      <c r="E131" s="1"/>
      <c r="F131" s="1"/>
      <c r="G131" s="1"/>
      <c r="H131" s="1"/>
      <c r="I131" s="12">
        <f>TB!$E$63</f>
        <v>36100</v>
      </c>
    </row>
    <row r="132" spans="1:10">
      <c r="B132" s="32" t="s">
        <v>153</v>
      </c>
      <c r="C132" s="1"/>
      <c r="D132" s="1"/>
      <c r="E132" s="1"/>
      <c r="F132" s="1"/>
      <c r="G132" s="1"/>
      <c r="H132" s="1"/>
      <c r="I132" s="12">
        <f>TB!$E$64</f>
        <v>8400</v>
      </c>
    </row>
    <row r="133" spans="1:10">
      <c r="B133" s="32" t="s">
        <v>154</v>
      </c>
      <c r="C133" s="1"/>
      <c r="D133" s="1"/>
      <c r="E133" s="1"/>
      <c r="F133" s="1"/>
      <c r="G133" s="1"/>
      <c r="H133" s="1"/>
      <c r="I133" s="12">
        <f>TB!$E$65</f>
        <v>81306.7</v>
      </c>
    </row>
    <row r="134" spans="1:10">
      <c r="B134" s="32" t="s">
        <v>155</v>
      </c>
      <c r="C134" s="1"/>
      <c r="D134" s="1"/>
      <c r="E134" s="1"/>
      <c r="F134" s="1"/>
      <c r="G134" s="1"/>
      <c r="H134" s="1"/>
      <c r="I134" s="12">
        <f>TB!$E$66</f>
        <v>147987</v>
      </c>
    </row>
    <row r="135" spans="1:10">
      <c r="B135" s="32" t="s">
        <v>156</v>
      </c>
      <c r="C135" s="1"/>
      <c r="D135" s="1"/>
      <c r="E135" s="1"/>
      <c r="F135" s="1"/>
      <c r="G135" s="1"/>
      <c r="H135" s="1"/>
      <c r="I135" s="12">
        <f>TB!$E$67</f>
        <v>16800</v>
      </c>
    </row>
    <row r="136" spans="1:10">
      <c r="B136" s="32" t="s">
        <v>157</v>
      </c>
      <c r="C136" s="1"/>
      <c r="D136" s="1"/>
      <c r="E136" s="1"/>
      <c r="F136" s="1"/>
      <c r="G136" s="1"/>
      <c r="H136" s="1"/>
      <c r="I136" s="12">
        <f>TB!$E$68</f>
        <v>65892</v>
      </c>
    </row>
    <row r="137" spans="1:10">
      <c r="B137" s="32" t="s">
        <v>158</v>
      </c>
      <c r="C137" s="1"/>
      <c r="D137" s="1"/>
      <c r="E137" s="1"/>
      <c r="F137" s="1"/>
      <c r="G137" s="1"/>
      <c r="H137" s="1"/>
      <c r="I137" s="12">
        <f>TB!$E$69</f>
        <v>0</v>
      </c>
    </row>
    <row r="138" spans="1:10">
      <c r="B138" s="32" t="s">
        <v>159</v>
      </c>
      <c r="C138" s="1"/>
      <c r="D138" s="1"/>
      <c r="E138" s="1"/>
      <c r="F138" s="1"/>
      <c r="G138" s="1"/>
      <c r="H138" s="1"/>
      <c r="I138" s="12">
        <f>TB!$E$70</f>
        <v>147074.59</v>
      </c>
      <c r="J138" s="12">
        <f>TB!$B$70</f>
        <v>0</v>
      </c>
    </row>
    <row r="139" spans="1:10">
      <c r="B139" s="32" t="s">
        <v>280</v>
      </c>
      <c r="C139" s="1"/>
      <c r="D139" s="1"/>
      <c r="E139" s="1"/>
      <c r="F139" s="1"/>
      <c r="G139" s="1"/>
      <c r="H139" s="1"/>
      <c r="I139" s="12">
        <f>TB!$E$21-TB!$E$71-SUM(I91:I138)</f>
        <v>0</v>
      </c>
    </row>
    <row r="140" spans="1:10">
      <c r="B140" s="32"/>
      <c r="C140" s="1"/>
      <c r="D140" s="1"/>
      <c r="E140" s="1"/>
      <c r="F140" s="1"/>
      <c r="G140" s="1"/>
      <c r="H140" s="1"/>
    </row>
    <row r="141" spans="1:10">
      <c r="A141" s="2"/>
      <c r="B141" s="40" t="s">
        <v>48</v>
      </c>
      <c r="C141" s="41"/>
      <c r="D141" s="41"/>
      <c r="E141" s="41"/>
      <c r="F141" s="41"/>
      <c r="G141" s="41"/>
      <c r="H141" s="41"/>
      <c r="I141" s="16">
        <f>SUM(I91:I139)</f>
        <v>6149763.8399999999</v>
      </c>
      <c r="J141" s="16">
        <f>SUM(J91:J139)</f>
        <v>0</v>
      </c>
    </row>
    <row r="144" spans="1:10">
      <c r="A144" s="2">
        <v>6</v>
      </c>
      <c r="B144" s="2" t="s">
        <v>71</v>
      </c>
      <c r="C144" s="2"/>
      <c r="D144" s="2"/>
      <c r="E144" s="2"/>
      <c r="F144" s="2"/>
      <c r="G144" s="2"/>
      <c r="H144" s="2"/>
      <c r="I144" s="13"/>
      <c r="J144" s="13" t="s">
        <v>4</v>
      </c>
    </row>
    <row r="145" spans="1:10">
      <c r="A145" s="2"/>
      <c r="B145" s="36" t="s">
        <v>5</v>
      </c>
      <c r="C145" s="37"/>
      <c r="D145" s="37"/>
      <c r="E145" s="37"/>
      <c r="F145" s="37"/>
      <c r="G145" s="37"/>
      <c r="H145" s="37"/>
      <c r="I145" s="39">
        <v>46112</v>
      </c>
      <c r="J145" s="39">
        <v>45747</v>
      </c>
    </row>
    <row r="146" spans="1:10">
      <c r="B146" s="32"/>
      <c r="C146" s="1"/>
      <c r="D146" s="1"/>
      <c r="E146" s="1"/>
      <c r="F146" s="1"/>
      <c r="G146" s="1"/>
      <c r="H146" s="1"/>
    </row>
    <row r="147" spans="1:10">
      <c r="B147" s="32" t="s">
        <v>71</v>
      </c>
      <c r="C147" s="1"/>
      <c r="D147" s="1"/>
      <c r="E147" s="1"/>
      <c r="F147" s="1"/>
      <c r="G147" s="1"/>
      <c r="H147" s="1"/>
      <c r="I147" s="12">
        <f>'Fixed Assets'!$K$16</f>
        <v>1234104.92</v>
      </c>
    </row>
    <row r="148" spans="1:10">
      <c r="B148" s="32"/>
      <c r="C148" s="1"/>
      <c r="D148" s="1"/>
      <c r="E148" s="1"/>
      <c r="F148" s="1"/>
      <c r="G148" s="1"/>
      <c r="H148" s="1"/>
    </row>
    <row r="149" spans="1:10">
      <c r="A149" s="2"/>
      <c r="B149" s="40" t="s">
        <v>48</v>
      </c>
      <c r="C149" s="41"/>
      <c r="D149" s="41"/>
      <c r="E149" s="41"/>
      <c r="F149" s="41"/>
      <c r="G149" s="41"/>
      <c r="H149" s="41"/>
      <c r="I149" s="16">
        <f>SUM(I147:I147)</f>
        <v>1234104.92</v>
      </c>
      <c r="J149" s="16">
        <f>SUM(J147:J147)</f>
        <v>0</v>
      </c>
    </row>
    <row r="152" spans="1:10" hidden="1">
      <c r="A152" s="2">
        <v>9</v>
      </c>
      <c r="B152" s="2" t="s">
        <v>282</v>
      </c>
      <c r="C152" s="2"/>
      <c r="D152" s="2"/>
      <c r="E152" s="2"/>
      <c r="F152" s="2"/>
      <c r="G152" s="2"/>
      <c r="H152" s="2"/>
      <c r="I152" s="13"/>
      <c r="J152" s="13" t="s">
        <v>4</v>
      </c>
    </row>
    <row r="153" spans="1:10" hidden="1">
      <c r="A153" s="2"/>
      <c r="B153" s="2" t="s">
        <v>5</v>
      </c>
      <c r="C153" s="2"/>
      <c r="D153" s="2"/>
      <c r="E153" s="2"/>
      <c r="F153" s="2"/>
      <c r="G153" s="2"/>
      <c r="H153" s="2"/>
      <c r="I153" s="35">
        <v>46112</v>
      </c>
      <c r="J153" s="35">
        <v>45747</v>
      </c>
    </row>
    <row r="154" spans="1:10" hidden="1"/>
    <row r="155" spans="1:10" hidden="1">
      <c r="B155" t="s">
        <v>283</v>
      </c>
      <c r="I155" s="12">
        <f>0</f>
        <v>0</v>
      </c>
      <c r="J155" s="12">
        <f>0</f>
        <v>0</v>
      </c>
    </row>
    <row r="156" spans="1:10" hidden="1"/>
    <row r="157" spans="1:10" hidden="1">
      <c r="A157" s="2"/>
      <c r="B157" s="2" t="s">
        <v>48</v>
      </c>
      <c r="C157" s="2"/>
      <c r="D157" s="2"/>
      <c r="E157" s="2"/>
      <c r="F157" s="2"/>
      <c r="G157" s="2"/>
      <c r="H157" s="2"/>
      <c r="I157" s="13">
        <f>SUM(I155:I155)</f>
        <v>0</v>
      </c>
      <c r="J157" s="13">
        <f>SUM(J155:J155)</f>
        <v>0</v>
      </c>
    </row>
    <row r="158" spans="1:10" hidden="1"/>
    <row r="159" spans="1:10" hidden="1"/>
    <row r="160" spans="1:10" hidden="1">
      <c r="A160" s="2">
        <v>10</v>
      </c>
      <c r="B160" s="2" t="s">
        <v>284</v>
      </c>
      <c r="C160" s="2"/>
      <c r="D160" s="2"/>
      <c r="E160" s="2"/>
      <c r="F160" s="2"/>
      <c r="G160" s="2"/>
      <c r="H160" s="2"/>
      <c r="I160" s="13"/>
      <c r="J160" s="13" t="s">
        <v>4</v>
      </c>
    </row>
    <row r="161" spans="1:10" hidden="1">
      <c r="A161" s="2"/>
      <c r="B161" s="2" t="s">
        <v>5</v>
      </c>
      <c r="C161" s="2"/>
      <c r="D161" s="2"/>
      <c r="E161" s="2"/>
      <c r="F161" s="2"/>
      <c r="G161" s="2"/>
      <c r="H161" s="2"/>
      <c r="I161" s="35">
        <v>46112</v>
      </c>
      <c r="J161" s="35">
        <v>45747</v>
      </c>
    </row>
    <row r="162" spans="1:10" hidden="1"/>
    <row r="163" spans="1:10" hidden="1">
      <c r="B163" t="s">
        <v>285</v>
      </c>
      <c r="I163" s="12">
        <f>0</f>
        <v>0</v>
      </c>
      <c r="J163" s="12">
        <f>0</f>
        <v>0</v>
      </c>
    </row>
    <row r="164" spans="1:10" hidden="1"/>
    <row r="165" spans="1:10" hidden="1">
      <c r="A165" s="2"/>
      <c r="B165" s="2" t="s">
        <v>48</v>
      </c>
      <c r="C165" s="2"/>
      <c r="D165" s="2"/>
      <c r="E165" s="2"/>
      <c r="F165" s="2"/>
      <c r="G165" s="2"/>
      <c r="H165" s="2"/>
      <c r="I165" s="13">
        <f>SUM(I163:I163)</f>
        <v>0</v>
      </c>
      <c r="J165" s="13">
        <f>SUM(J163:J163)</f>
        <v>0</v>
      </c>
    </row>
    <row r="166" spans="1:10" hidden="1"/>
    <row r="167" spans="1:10" hidden="1"/>
    <row r="168" spans="1:10" hidden="1">
      <c r="A168" s="2">
        <v>11</v>
      </c>
      <c r="B168" s="2" t="s">
        <v>286</v>
      </c>
      <c r="C168" s="2"/>
      <c r="D168" s="2"/>
      <c r="E168" s="2"/>
      <c r="F168" s="2"/>
      <c r="G168" s="2"/>
      <c r="H168" s="2"/>
      <c r="I168" s="13"/>
      <c r="J168" s="13" t="s">
        <v>4</v>
      </c>
    </row>
    <row r="169" spans="1:10" hidden="1">
      <c r="A169" s="2"/>
      <c r="B169" s="2" t="s">
        <v>5</v>
      </c>
      <c r="C169" s="2"/>
      <c r="D169" s="2"/>
      <c r="E169" s="2"/>
      <c r="F169" s="2"/>
      <c r="G169" s="2"/>
      <c r="H169" s="2"/>
      <c r="I169" s="35">
        <v>46112</v>
      </c>
      <c r="J169" s="35">
        <v>45747</v>
      </c>
    </row>
    <row r="170" spans="1:10" hidden="1"/>
    <row r="171" spans="1:10" hidden="1">
      <c r="B171" t="s">
        <v>287</v>
      </c>
      <c r="I171" s="12">
        <f>0</f>
        <v>0</v>
      </c>
      <c r="J171" s="12">
        <f>0</f>
        <v>0</v>
      </c>
    </row>
    <row r="172" spans="1:10" hidden="1"/>
    <row r="173" spans="1:10" hidden="1">
      <c r="A173" s="2"/>
      <c r="B173" s="2" t="s">
        <v>48</v>
      </c>
      <c r="C173" s="2"/>
      <c r="D173" s="2"/>
      <c r="E173" s="2"/>
      <c r="F173" s="2"/>
      <c r="G173" s="2"/>
      <c r="H173" s="2"/>
      <c r="I173" s="13">
        <f>SUM(I171:I171)</f>
        <v>0</v>
      </c>
      <c r="J173" s="13">
        <f>SUM(J171:J171)</f>
        <v>0</v>
      </c>
    </row>
    <row r="174" spans="1:10" hidden="1"/>
    <row r="176" spans="1:10">
      <c r="A176" s="2">
        <v>7</v>
      </c>
      <c r="B176" s="2" t="s">
        <v>288</v>
      </c>
      <c r="C176" s="2"/>
      <c r="D176" s="2"/>
      <c r="E176" s="2"/>
      <c r="F176" s="2"/>
      <c r="G176" s="2"/>
      <c r="H176" s="2"/>
      <c r="I176" s="13"/>
      <c r="J176" s="13" t="s">
        <v>4</v>
      </c>
    </row>
    <row r="177" spans="1:10">
      <c r="A177" s="2"/>
      <c r="B177" s="36" t="s">
        <v>5</v>
      </c>
      <c r="C177" s="37"/>
      <c r="D177" s="37"/>
      <c r="E177" s="37"/>
      <c r="F177" s="37"/>
      <c r="G177" s="37"/>
      <c r="H177" s="37"/>
      <c r="I177" s="39">
        <v>46112</v>
      </c>
      <c r="J177" s="39">
        <v>45747</v>
      </c>
    </row>
    <row r="178" spans="1:10">
      <c r="B178" s="32"/>
      <c r="C178" s="1"/>
      <c r="D178" s="1"/>
      <c r="E178" s="1"/>
      <c r="F178" s="1"/>
      <c r="G178" s="1"/>
      <c r="H178" s="1"/>
    </row>
    <row r="179" spans="1:10">
      <c r="B179" s="32" t="s">
        <v>209</v>
      </c>
      <c r="C179" s="1"/>
      <c r="D179" s="1"/>
      <c r="E179" s="1"/>
      <c r="F179" s="1"/>
      <c r="G179" s="1"/>
      <c r="H179" s="1"/>
      <c r="I179" s="12">
        <f>TB!$E$124</f>
        <v>0</v>
      </c>
    </row>
    <row r="180" spans="1:10">
      <c r="B180" s="32" t="s">
        <v>210</v>
      </c>
      <c r="C180" s="1"/>
      <c r="D180" s="1"/>
      <c r="E180" s="1"/>
      <c r="F180" s="1"/>
      <c r="G180" s="1"/>
      <c r="H180" s="1"/>
      <c r="I180" s="12">
        <f>TB!$E$125</f>
        <v>197043</v>
      </c>
      <c r="J180" s="12">
        <f>TB!$B$125</f>
        <v>0</v>
      </c>
    </row>
    <row r="181" spans="1:10">
      <c r="B181" s="32" t="s">
        <v>211</v>
      </c>
      <c r="C181" s="1"/>
      <c r="D181" s="1"/>
      <c r="E181" s="1"/>
      <c r="F181" s="1"/>
      <c r="G181" s="1"/>
      <c r="H181" s="1"/>
      <c r="I181" s="12">
        <f>TB!$E$126</f>
        <v>0</v>
      </c>
      <c r="J181" s="12">
        <f>TB!$B$126</f>
        <v>0</v>
      </c>
    </row>
    <row r="182" spans="1:10">
      <c r="B182" s="32" t="s">
        <v>212</v>
      </c>
      <c r="C182" s="1"/>
      <c r="D182" s="1"/>
      <c r="E182" s="1"/>
      <c r="F182" s="1"/>
      <c r="G182" s="1"/>
      <c r="H182" s="1"/>
      <c r="I182" s="12">
        <f>TB!$E$127</f>
        <v>4724513.3</v>
      </c>
    </row>
    <row r="183" spans="1:10">
      <c r="B183" s="32" t="s">
        <v>213</v>
      </c>
      <c r="C183" s="1"/>
      <c r="D183" s="1"/>
      <c r="E183" s="1"/>
      <c r="F183" s="1"/>
      <c r="G183" s="1"/>
      <c r="H183" s="1"/>
      <c r="I183" s="12">
        <f>TB!$E$128</f>
        <v>666687.28</v>
      </c>
    </row>
    <row r="184" spans="1:10">
      <c r="B184" s="32" t="s">
        <v>214</v>
      </c>
      <c r="C184" s="1"/>
      <c r="D184" s="1"/>
      <c r="E184" s="1"/>
      <c r="F184" s="1"/>
      <c r="G184" s="1"/>
      <c r="H184" s="1"/>
      <c r="I184" s="12">
        <f>TB!$E$129</f>
        <v>0</v>
      </c>
    </row>
    <row r="185" spans="1:10">
      <c r="B185" s="32" t="s">
        <v>215</v>
      </c>
      <c r="C185" s="1"/>
      <c r="D185" s="1"/>
      <c r="E185" s="1"/>
      <c r="F185" s="1"/>
      <c r="G185" s="1"/>
      <c r="H185" s="1"/>
      <c r="I185" s="12">
        <f>TB!$E$130</f>
        <v>1063800</v>
      </c>
    </row>
    <row r="186" spans="1:10">
      <c r="B186" s="32" t="s">
        <v>216</v>
      </c>
      <c r="C186" s="1"/>
      <c r="D186" s="1"/>
      <c r="E186" s="1"/>
      <c r="F186" s="1"/>
      <c r="G186" s="1"/>
      <c r="H186" s="1"/>
      <c r="I186" s="12">
        <f>TB!$E$131</f>
        <v>0</v>
      </c>
      <c r="J186" s="12">
        <f>TB!$B$131</f>
        <v>0</v>
      </c>
    </row>
    <row r="187" spans="1:10">
      <c r="B187" s="32" t="s">
        <v>217</v>
      </c>
      <c r="C187" s="1"/>
      <c r="D187" s="1"/>
      <c r="E187" s="1"/>
      <c r="F187" s="1"/>
      <c r="G187" s="1"/>
      <c r="H187" s="1"/>
      <c r="I187" s="12">
        <f>TB!$E$132</f>
        <v>188500</v>
      </c>
      <c r="J187" s="12">
        <f>TB!$B$132</f>
        <v>0</v>
      </c>
    </row>
    <row r="188" spans="1:10">
      <c r="B188" s="32" t="s">
        <v>218</v>
      </c>
      <c r="C188" s="1"/>
      <c r="D188" s="1"/>
      <c r="E188" s="1"/>
      <c r="F188" s="1"/>
      <c r="G188" s="1"/>
      <c r="H188" s="1"/>
      <c r="I188" s="12">
        <f>TB!$E$133</f>
        <v>0</v>
      </c>
      <c r="J188" s="12">
        <f>TB!$B$133</f>
        <v>0</v>
      </c>
    </row>
    <row r="189" spans="1:10">
      <c r="B189" s="32" t="s">
        <v>219</v>
      </c>
      <c r="C189" s="1"/>
      <c r="D189" s="1"/>
      <c r="E189" s="1"/>
      <c r="F189" s="1"/>
      <c r="G189" s="1"/>
      <c r="H189" s="1"/>
      <c r="I189" s="12">
        <f>TB!$E$134</f>
        <v>0</v>
      </c>
      <c r="J189" s="12">
        <f>TB!$B$134</f>
        <v>0</v>
      </c>
    </row>
    <row r="190" spans="1:10">
      <c r="B190" s="32" t="s">
        <v>220</v>
      </c>
      <c r="C190" s="1"/>
      <c r="D190" s="1"/>
      <c r="E190" s="1"/>
      <c r="F190" s="1"/>
      <c r="G190" s="1"/>
      <c r="H190" s="1"/>
      <c r="I190" s="12">
        <f>TB!$E$135</f>
        <v>0</v>
      </c>
      <c r="J190" s="12">
        <f>TB!$B$135</f>
        <v>0</v>
      </c>
    </row>
    <row r="191" spans="1:10">
      <c r="B191" s="32" t="s">
        <v>221</v>
      </c>
      <c r="C191" s="1"/>
      <c r="D191" s="1"/>
      <c r="E191" s="1"/>
      <c r="F191" s="1"/>
      <c r="G191" s="1"/>
      <c r="H191" s="1"/>
      <c r="I191" s="12">
        <f>TB!$E$136</f>
        <v>909321.12</v>
      </c>
      <c r="J191" s="12">
        <f>TB!$B$136</f>
        <v>0</v>
      </c>
    </row>
    <row r="192" spans="1:10">
      <c r="B192" s="32" t="s">
        <v>222</v>
      </c>
      <c r="C192" s="1"/>
      <c r="D192" s="1"/>
      <c r="E192" s="1"/>
      <c r="F192" s="1"/>
      <c r="G192" s="1"/>
      <c r="H192" s="1"/>
      <c r="I192" s="12">
        <f>TB!$E$137</f>
        <v>2063489.24</v>
      </c>
      <c r="J192" s="12">
        <f>TB!$B$137</f>
        <v>0</v>
      </c>
    </row>
    <row r="193" spans="1:10">
      <c r="B193" s="32" t="s">
        <v>223</v>
      </c>
      <c r="C193" s="1"/>
      <c r="D193" s="1"/>
      <c r="E193" s="1"/>
      <c r="F193" s="1"/>
      <c r="G193" s="1"/>
      <c r="H193" s="1"/>
      <c r="I193" s="12">
        <f>TB!$E$138</f>
        <v>0</v>
      </c>
    </row>
    <row r="194" spans="1:10">
      <c r="B194" s="32"/>
      <c r="C194" s="1"/>
      <c r="D194" s="1"/>
      <c r="E194" s="1"/>
      <c r="F194" s="1"/>
      <c r="G194" s="1"/>
      <c r="H194" s="1"/>
    </row>
    <row r="195" spans="1:10">
      <c r="A195" s="2"/>
      <c r="B195" s="40" t="s">
        <v>48</v>
      </c>
      <c r="C195" s="41"/>
      <c r="D195" s="41"/>
      <c r="E195" s="41"/>
      <c r="F195" s="41"/>
      <c r="G195" s="41"/>
      <c r="H195" s="41"/>
      <c r="I195" s="16">
        <f>SUM(I179:I193)</f>
        <v>9813353.9399999995</v>
      </c>
      <c r="J195" s="16">
        <f>SUM(J179:J193)</f>
        <v>0</v>
      </c>
    </row>
    <row r="198" spans="1:10">
      <c r="A198" s="2">
        <v>8</v>
      </c>
      <c r="B198" s="2" t="s">
        <v>289</v>
      </c>
      <c r="C198" s="2"/>
      <c r="D198" s="2"/>
      <c r="E198" s="2"/>
      <c r="F198" s="2"/>
      <c r="G198" s="2"/>
      <c r="H198" s="2"/>
      <c r="I198" s="13"/>
      <c r="J198" s="13" t="s">
        <v>4</v>
      </c>
    </row>
    <row r="199" spans="1:10">
      <c r="A199" s="2"/>
      <c r="B199" s="36" t="s">
        <v>5</v>
      </c>
      <c r="C199" s="37"/>
      <c r="D199" s="37"/>
      <c r="E199" s="37"/>
      <c r="F199" s="37"/>
      <c r="G199" s="37"/>
      <c r="H199" s="37"/>
      <c r="I199" s="39">
        <v>46112</v>
      </c>
      <c r="J199" s="39">
        <v>45747</v>
      </c>
    </row>
    <row r="200" spans="1:10">
      <c r="B200" s="32"/>
      <c r="C200" s="1"/>
      <c r="D200" s="1"/>
      <c r="E200" s="1"/>
      <c r="F200" s="1"/>
      <c r="G200" s="1"/>
      <c r="H200" s="1"/>
    </row>
    <row r="201" spans="1:10">
      <c r="B201" s="32" t="s">
        <v>225</v>
      </c>
      <c r="C201" s="1"/>
      <c r="D201" s="1"/>
      <c r="E201" s="1"/>
      <c r="F201" s="1"/>
      <c r="G201" s="1"/>
      <c r="H201" s="1"/>
      <c r="I201" s="12">
        <f>TB!$E$140</f>
        <v>150192.98000000001</v>
      </c>
    </row>
    <row r="202" spans="1:10">
      <c r="B202" s="32"/>
      <c r="C202" s="1"/>
      <c r="D202" s="1"/>
      <c r="E202" s="1"/>
      <c r="F202" s="1"/>
      <c r="G202" s="1"/>
      <c r="H202" s="1"/>
    </row>
    <row r="203" spans="1:10">
      <c r="A203" s="2"/>
      <c r="B203" s="40" t="s">
        <v>48</v>
      </c>
      <c r="C203" s="41"/>
      <c r="D203" s="41"/>
      <c r="E203" s="41"/>
      <c r="F203" s="41"/>
      <c r="G203" s="41"/>
      <c r="H203" s="41"/>
      <c r="I203" s="16">
        <f>SUM(I201:I201)</f>
        <v>150192.98000000001</v>
      </c>
      <c r="J203" s="16">
        <f>SUM(J201:J201)</f>
        <v>0</v>
      </c>
    </row>
    <row r="206" spans="1:10" hidden="1">
      <c r="A206" s="2">
        <v>14</v>
      </c>
      <c r="B206" s="2" t="s">
        <v>290</v>
      </c>
      <c r="C206" s="2"/>
      <c r="D206" s="2"/>
      <c r="E206" s="2"/>
      <c r="F206" s="2"/>
      <c r="G206" s="2"/>
      <c r="H206" s="2"/>
      <c r="I206" s="13"/>
      <c r="J206" s="13" t="s">
        <v>4</v>
      </c>
    </row>
    <row r="207" spans="1:10" hidden="1">
      <c r="A207" s="2"/>
      <c r="B207" s="2" t="s">
        <v>5</v>
      </c>
      <c r="C207" s="2"/>
      <c r="D207" s="2"/>
      <c r="E207" s="2"/>
      <c r="F207" s="2"/>
      <c r="G207" s="2"/>
      <c r="H207" s="2"/>
      <c r="I207" s="35">
        <v>46112</v>
      </c>
      <c r="J207" s="35">
        <v>45747</v>
      </c>
    </row>
    <row r="208" spans="1:10" hidden="1"/>
    <row r="209" spans="1:10" hidden="1"/>
    <row r="210" spans="1:10" hidden="1"/>
    <row r="211" spans="1:10" hidden="1">
      <c r="A211" s="2"/>
      <c r="B211" s="2" t="s">
        <v>48</v>
      </c>
      <c r="C211" s="2"/>
      <c r="D211" s="2"/>
      <c r="E211" s="2"/>
      <c r="F211" s="2"/>
      <c r="G211" s="2"/>
      <c r="H211" s="2"/>
      <c r="I211" s="13">
        <f>SUM(I209:I209)</f>
        <v>0</v>
      </c>
      <c r="J211" s="13">
        <f>SUM(J209:J209)</f>
        <v>0</v>
      </c>
    </row>
    <row r="212" spans="1:10" hidden="1"/>
    <row r="214" spans="1:10">
      <c r="A214" s="2">
        <v>9</v>
      </c>
      <c r="B214" s="2" t="s">
        <v>291</v>
      </c>
      <c r="C214" s="2"/>
      <c r="D214" s="2"/>
      <c r="E214" s="2"/>
      <c r="F214" s="2"/>
      <c r="G214" s="2"/>
      <c r="H214" s="2"/>
      <c r="I214" s="13"/>
      <c r="J214" s="13" t="s">
        <v>4</v>
      </c>
    </row>
    <row r="215" spans="1:10">
      <c r="A215" s="2"/>
      <c r="B215" s="36" t="s">
        <v>5</v>
      </c>
      <c r="C215" s="37"/>
      <c r="D215" s="37"/>
      <c r="E215" s="37"/>
      <c r="F215" s="37"/>
      <c r="G215" s="37"/>
      <c r="H215" s="37"/>
      <c r="I215" s="39">
        <v>46112</v>
      </c>
      <c r="J215" s="39">
        <v>45747</v>
      </c>
    </row>
    <row r="216" spans="1:10">
      <c r="B216" s="32"/>
      <c r="C216" s="1"/>
      <c r="D216" s="1"/>
      <c r="E216" s="1"/>
      <c r="F216" s="1"/>
      <c r="G216" s="1"/>
      <c r="H216" s="1"/>
    </row>
    <row r="217" spans="1:10">
      <c r="B217" s="32" t="s">
        <v>227</v>
      </c>
      <c r="C217" s="1"/>
      <c r="D217" s="1"/>
      <c r="E217" s="1"/>
      <c r="F217" s="1"/>
      <c r="G217" s="1"/>
      <c r="H217" s="1"/>
      <c r="I217" s="12">
        <f>TB!$E$142</f>
        <v>396932</v>
      </c>
      <c r="J217" s="12">
        <f>TB!$B$142</f>
        <v>0</v>
      </c>
    </row>
    <row r="218" spans="1:10">
      <c r="B218" s="32" t="s">
        <v>228</v>
      </c>
      <c r="C218" s="1"/>
      <c r="D218" s="1"/>
      <c r="E218" s="1"/>
      <c r="F218" s="1"/>
      <c r="G218" s="1"/>
      <c r="H218" s="1"/>
      <c r="I218" s="12">
        <f>TB!$E$143</f>
        <v>0</v>
      </c>
    </row>
    <row r="219" spans="1:10">
      <c r="B219" s="32"/>
      <c r="C219" s="1"/>
      <c r="D219" s="1"/>
      <c r="E219" s="1"/>
      <c r="F219" s="1"/>
      <c r="G219" s="1"/>
      <c r="H219" s="1"/>
    </row>
    <row r="220" spans="1:10">
      <c r="A220" s="2"/>
      <c r="B220" s="33" t="s">
        <v>48</v>
      </c>
      <c r="C220" s="3"/>
      <c r="D220" s="3"/>
      <c r="E220" s="3"/>
      <c r="F220" s="3"/>
      <c r="G220" s="3"/>
      <c r="H220" s="3"/>
      <c r="I220" s="13">
        <f>SUM(I217:I218)</f>
        <v>396932</v>
      </c>
      <c r="J220" s="13">
        <f>SUM(J217:J218)</f>
        <v>0</v>
      </c>
    </row>
    <row r="221" spans="1:10">
      <c r="B221" s="34"/>
      <c r="C221" s="29"/>
      <c r="D221" s="29"/>
      <c r="E221" s="29"/>
      <c r="F221" s="29"/>
      <c r="G221" s="29"/>
      <c r="H221" s="29"/>
      <c r="I221" s="14"/>
      <c r="J221" s="14"/>
    </row>
    <row r="223" spans="1:10">
      <c r="A223" s="2">
        <v>10</v>
      </c>
      <c r="B223" s="2" t="s">
        <v>7</v>
      </c>
      <c r="C223" s="2"/>
      <c r="D223" s="2"/>
      <c r="E223" s="2"/>
      <c r="F223" s="2"/>
      <c r="G223" s="2"/>
      <c r="H223" s="2"/>
      <c r="I223" s="13"/>
      <c r="J223" s="13" t="s">
        <v>4</v>
      </c>
    </row>
    <row r="224" spans="1:10">
      <c r="A224" s="2"/>
      <c r="B224" s="36" t="s">
        <v>5</v>
      </c>
      <c r="C224" s="37"/>
      <c r="D224" s="37"/>
      <c r="E224" s="37"/>
      <c r="F224" s="37"/>
      <c r="G224" s="37"/>
      <c r="H224" s="37"/>
      <c r="I224" s="39">
        <v>46112</v>
      </c>
      <c r="J224" s="39">
        <v>45747</v>
      </c>
    </row>
    <row r="225" spans="1:10">
      <c r="B225" s="32"/>
      <c r="C225" s="1"/>
      <c r="D225" s="1"/>
      <c r="E225" s="1"/>
      <c r="F225" s="1"/>
      <c r="G225" s="1"/>
      <c r="H225" s="1"/>
    </row>
    <row r="226" spans="1:10">
      <c r="B226" s="32" t="s">
        <v>230</v>
      </c>
      <c r="C226" s="1"/>
      <c r="D226" s="1"/>
      <c r="E226" s="1"/>
      <c r="F226" s="1"/>
      <c r="G226" s="1"/>
      <c r="H226" s="1"/>
      <c r="I226" s="12">
        <f>TB!$D$145-TB!$C$145-TB!E122</f>
        <v>30949843.420000002</v>
      </c>
      <c r="J226" s="12">
        <f>0</f>
        <v>0</v>
      </c>
    </row>
    <row r="227" spans="1:10">
      <c r="B227" s="32" t="s">
        <v>231</v>
      </c>
      <c r="C227" s="1"/>
      <c r="D227" s="1"/>
      <c r="E227" s="1"/>
      <c r="F227" s="1"/>
      <c r="G227" s="1"/>
      <c r="H227" s="1"/>
      <c r="I227" s="12">
        <f>TB!$D$146-TB!$C$146</f>
        <v>25829113</v>
      </c>
      <c r="J227" s="12">
        <f>0</f>
        <v>0</v>
      </c>
    </row>
    <row r="228" spans="1:10">
      <c r="B228" s="32"/>
      <c r="C228" s="1"/>
      <c r="D228" s="1"/>
      <c r="E228" s="1"/>
      <c r="F228" s="1"/>
      <c r="G228" s="1"/>
      <c r="H228" s="1"/>
    </row>
    <row r="229" spans="1:10">
      <c r="A229" s="2"/>
      <c r="B229" s="40" t="s">
        <v>48</v>
      </c>
      <c r="C229" s="41"/>
      <c r="D229" s="41"/>
      <c r="E229" s="41"/>
      <c r="F229" s="41"/>
      <c r="G229" s="41"/>
      <c r="H229" s="41"/>
      <c r="I229" s="16">
        <f>SUM(I226:I227)</f>
        <v>56778956.420000002</v>
      </c>
      <c r="J229" s="16">
        <f>SUM(J226:J227)</f>
        <v>0</v>
      </c>
    </row>
    <row r="232" spans="1:10">
      <c r="A232" s="2">
        <v>11</v>
      </c>
      <c r="B232" s="2" t="s">
        <v>8</v>
      </c>
      <c r="C232" s="2"/>
      <c r="D232" s="2"/>
      <c r="E232" s="2"/>
      <c r="F232" s="2"/>
      <c r="G232" s="2"/>
      <c r="H232" s="2"/>
      <c r="I232" s="13"/>
      <c r="J232" s="13" t="s">
        <v>4</v>
      </c>
    </row>
    <row r="233" spans="1:10">
      <c r="A233" s="2"/>
      <c r="B233" s="36" t="s">
        <v>5</v>
      </c>
      <c r="C233" s="37"/>
      <c r="D233" s="37"/>
      <c r="E233" s="37"/>
      <c r="F233" s="37"/>
      <c r="G233" s="37"/>
      <c r="H233" s="37"/>
      <c r="I233" s="39">
        <v>46112</v>
      </c>
      <c r="J233" s="39">
        <v>45747</v>
      </c>
    </row>
    <row r="234" spans="1:10">
      <c r="B234" s="32"/>
      <c r="C234" s="1"/>
      <c r="D234" s="1"/>
      <c r="E234" s="1"/>
      <c r="F234" s="1"/>
      <c r="G234" s="1"/>
      <c r="H234" s="1"/>
    </row>
    <row r="235" spans="1:10">
      <c r="B235" s="32" t="s">
        <v>238</v>
      </c>
      <c r="C235" s="1"/>
      <c r="D235" s="1"/>
      <c r="E235" s="1"/>
      <c r="F235" s="1"/>
      <c r="G235" s="1"/>
      <c r="H235" s="1"/>
      <c r="I235" s="12">
        <f>TB!$D$153-TB!$C$153</f>
        <v>0</v>
      </c>
      <c r="J235" s="12">
        <f>0</f>
        <v>0</v>
      </c>
    </row>
    <row r="236" spans="1:10">
      <c r="B236" s="32" t="s">
        <v>239</v>
      </c>
      <c r="C236" s="1"/>
      <c r="D236" s="1"/>
      <c r="E236" s="1"/>
      <c r="F236" s="1"/>
      <c r="G236" s="1"/>
      <c r="H236" s="1"/>
      <c r="I236" s="12">
        <f>TB!$D$154-TB!$C$154</f>
        <v>198358.69</v>
      </c>
      <c r="J236" s="12">
        <f>0</f>
        <v>0</v>
      </c>
    </row>
    <row r="237" spans="1:10">
      <c r="B237" s="32"/>
      <c r="C237" s="1"/>
      <c r="D237" s="1"/>
      <c r="E237" s="1"/>
      <c r="F237" s="1"/>
      <c r="G237" s="1"/>
      <c r="H237" s="1"/>
    </row>
    <row r="238" spans="1:10">
      <c r="A238" s="2"/>
      <c r="B238" s="40" t="s">
        <v>48</v>
      </c>
      <c r="C238" s="41"/>
      <c r="D238" s="41"/>
      <c r="E238" s="41"/>
      <c r="F238" s="41"/>
      <c r="G238" s="41"/>
      <c r="H238" s="41"/>
      <c r="I238" s="16">
        <f>SUM(I235:I236)</f>
        <v>198358.69</v>
      </c>
      <c r="J238" s="16">
        <f>SUM(J235:J236)</f>
        <v>0</v>
      </c>
    </row>
    <row r="241" spans="1:10">
      <c r="A241" s="2">
        <v>12</v>
      </c>
      <c r="B241" s="2" t="s">
        <v>11</v>
      </c>
      <c r="C241" s="2"/>
      <c r="D241" s="2"/>
      <c r="E241" s="2"/>
      <c r="F241" s="2"/>
      <c r="G241" s="2"/>
      <c r="H241" s="2"/>
      <c r="I241" s="13"/>
      <c r="J241" s="13" t="s">
        <v>4</v>
      </c>
    </row>
    <row r="242" spans="1:10">
      <c r="A242" s="2"/>
      <c r="B242" s="36" t="s">
        <v>5</v>
      </c>
      <c r="C242" s="37"/>
      <c r="D242" s="37"/>
      <c r="E242" s="37"/>
      <c r="F242" s="37"/>
      <c r="G242" s="37"/>
      <c r="H242" s="37"/>
      <c r="I242" s="39">
        <v>46112</v>
      </c>
      <c r="J242" s="39">
        <v>45747</v>
      </c>
    </row>
    <row r="243" spans="1:10">
      <c r="B243" s="32"/>
      <c r="C243" s="1"/>
      <c r="D243" s="1"/>
      <c r="E243" s="1"/>
      <c r="F243" s="1"/>
      <c r="G243" s="1"/>
      <c r="H243" s="1"/>
    </row>
    <row r="244" spans="1:10">
      <c r="B244" s="32" t="s">
        <v>233</v>
      </c>
      <c r="C244" s="1"/>
      <c r="D244" s="1"/>
      <c r="E244" s="1"/>
      <c r="F244" s="1"/>
      <c r="G244" s="1"/>
      <c r="H244" s="1"/>
      <c r="I244" s="12">
        <f>TB!$C$148-TB!$D$148</f>
        <v>62051</v>
      </c>
      <c r="J244" s="12">
        <f>0</f>
        <v>0</v>
      </c>
    </row>
    <row r="245" spans="1:10">
      <c r="B245" s="32" t="s">
        <v>234</v>
      </c>
      <c r="C245" s="1"/>
      <c r="D245" s="1"/>
      <c r="E245" s="1"/>
      <c r="F245" s="1"/>
      <c r="G245" s="1"/>
      <c r="H245" s="1"/>
      <c r="I245" s="12">
        <f>TB!$C$149-TB!$D$149</f>
        <v>4716084.18</v>
      </c>
      <c r="J245" s="12">
        <f>0</f>
        <v>0</v>
      </c>
    </row>
    <row r="246" spans="1:10">
      <c r="B246" s="32" t="s">
        <v>235</v>
      </c>
      <c r="C246" s="1"/>
      <c r="D246" s="1"/>
      <c r="E246" s="1"/>
      <c r="F246" s="1"/>
      <c r="G246" s="1"/>
      <c r="H246" s="1"/>
      <c r="I246" s="12">
        <f>TB!$C$150-TB!$D$150</f>
        <v>1154000</v>
      </c>
      <c r="J246" s="12">
        <f>0</f>
        <v>0</v>
      </c>
    </row>
    <row r="247" spans="1:10">
      <c r="B247" s="32" t="s">
        <v>236</v>
      </c>
      <c r="C247" s="1"/>
      <c r="D247" s="1"/>
      <c r="E247" s="1"/>
      <c r="F247" s="1"/>
      <c r="G247" s="1"/>
      <c r="H247" s="1"/>
      <c r="I247" s="12">
        <f>TB!$C$151-TB!$D$151</f>
        <v>34257633.170000002</v>
      </c>
      <c r="J247" s="12">
        <f>0</f>
        <v>0</v>
      </c>
    </row>
    <row r="248" spans="1:10">
      <c r="B248" s="32"/>
      <c r="C248" s="1"/>
      <c r="D248" s="1"/>
      <c r="E248" s="1"/>
      <c r="F248" s="1"/>
      <c r="G248" s="1"/>
      <c r="H248" s="1"/>
    </row>
    <row r="249" spans="1:10">
      <c r="A249" s="2"/>
      <c r="B249" s="40" t="s">
        <v>48</v>
      </c>
      <c r="C249" s="41"/>
      <c r="D249" s="41"/>
      <c r="E249" s="41"/>
      <c r="F249" s="41"/>
      <c r="G249" s="41"/>
      <c r="H249" s="41"/>
      <c r="I249" s="16">
        <f>SUM(I244:I247)</f>
        <v>40189768.350000001</v>
      </c>
      <c r="J249" s="16">
        <f>SUM(J244:J247)</f>
        <v>0</v>
      </c>
    </row>
    <row r="252" spans="1:10">
      <c r="A252" s="2">
        <v>13</v>
      </c>
      <c r="B252" s="2" t="s">
        <v>12</v>
      </c>
      <c r="C252" s="2"/>
      <c r="D252" s="2"/>
      <c r="E252" s="2"/>
      <c r="F252" s="2"/>
      <c r="G252" s="2"/>
      <c r="H252" s="2"/>
      <c r="I252" s="13"/>
      <c r="J252" s="13" t="s">
        <v>4</v>
      </c>
    </row>
    <row r="253" spans="1:10">
      <c r="A253" s="2"/>
      <c r="B253" s="36" t="s">
        <v>5</v>
      </c>
      <c r="C253" s="37"/>
      <c r="D253" s="37"/>
      <c r="E253" s="37"/>
      <c r="F253" s="37"/>
      <c r="G253" s="37"/>
      <c r="H253" s="37"/>
      <c r="I253" s="39">
        <v>46112</v>
      </c>
      <c r="J253" s="39">
        <v>45747</v>
      </c>
    </row>
    <row r="254" spans="1:10">
      <c r="B254" s="32"/>
      <c r="C254" s="1"/>
      <c r="D254" s="1"/>
      <c r="E254" s="1"/>
      <c r="F254" s="1"/>
      <c r="G254" s="1"/>
      <c r="H254" s="1"/>
    </row>
    <row r="255" spans="1:10">
      <c r="B255" s="32" t="s">
        <v>243</v>
      </c>
      <c r="C255" s="1"/>
      <c r="D255" s="1"/>
      <c r="E255" s="1"/>
      <c r="F255" s="1"/>
      <c r="G255" s="1"/>
      <c r="H255" s="1"/>
      <c r="I255" s="12">
        <f>TB!$C$158-TB!$D$158</f>
        <v>27071.620000000003</v>
      </c>
      <c r="J255" s="12">
        <f>0</f>
        <v>0</v>
      </c>
    </row>
    <row r="256" spans="1:10">
      <c r="B256" s="32"/>
      <c r="C256" s="1"/>
      <c r="D256" s="1"/>
      <c r="E256" s="1"/>
      <c r="F256" s="1"/>
      <c r="G256" s="1"/>
      <c r="H256" s="1"/>
    </row>
    <row r="257" spans="1:10">
      <c r="A257" s="2"/>
      <c r="B257" s="40" t="s">
        <v>48</v>
      </c>
      <c r="C257" s="41"/>
      <c r="D257" s="41"/>
      <c r="E257" s="41"/>
      <c r="F257" s="41"/>
      <c r="G257" s="41"/>
      <c r="H257" s="41"/>
      <c r="I257" s="16">
        <f>SUM(I255:I255)</f>
        <v>27071.620000000003</v>
      </c>
      <c r="J257" s="16">
        <f>SUM(J255:J255)</f>
        <v>0</v>
      </c>
    </row>
    <row r="260" spans="1:10">
      <c r="A260" s="2">
        <v>14</v>
      </c>
      <c r="B260" s="2" t="s">
        <v>13</v>
      </c>
      <c r="C260" s="2"/>
      <c r="D260" s="2"/>
      <c r="E260" s="2"/>
      <c r="F260" s="2"/>
      <c r="G260" s="2"/>
      <c r="H260" s="2"/>
      <c r="I260" s="13"/>
      <c r="J260" s="13" t="s">
        <v>4</v>
      </c>
    </row>
    <row r="261" spans="1:10">
      <c r="A261" s="2"/>
      <c r="B261" s="36" t="s">
        <v>5</v>
      </c>
      <c r="C261" s="37"/>
      <c r="D261" s="37"/>
      <c r="E261" s="37"/>
      <c r="F261" s="37"/>
      <c r="G261" s="37"/>
      <c r="H261" s="37"/>
      <c r="I261" s="39">
        <v>46112</v>
      </c>
      <c r="J261" s="39">
        <v>45747</v>
      </c>
    </row>
    <row r="262" spans="1:10">
      <c r="B262" s="32"/>
      <c r="C262" s="1"/>
      <c r="D262" s="1"/>
      <c r="E262" s="1"/>
      <c r="F262" s="1"/>
      <c r="G262" s="1"/>
      <c r="H262" s="1"/>
    </row>
    <row r="263" spans="1:10">
      <c r="B263" s="32" t="s">
        <v>292</v>
      </c>
      <c r="C263" s="1"/>
      <c r="D263" s="1"/>
      <c r="E263" s="1"/>
      <c r="F263" s="1"/>
      <c r="G263" s="1"/>
      <c r="H263" s="1"/>
      <c r="I263" s="12">
        <f>'Fixed Assets'!$H$16</f>
        <v>0</v>
      </c>
      <c r="J263" s="12">
        <f>0</f>
        <v>0</v>
      </c>
    </row>
    <row r="264" spans="1:10">
      <c r="B264" s="32"/>
      <c r="C264" s="1"/>
      <c r="D264" s="1"/>
      <c r="E264" s="1"/>
      <c r="F264" s="1"/>
      <c r="G264" s="1"/>
      <c r="H264" s="1"/>
    </row>
    <row r="265" spans="1:10">
      <c r="A265" s="2"/>
      <c r="B265" s="40" t="s">
        <v>48</v>
      </c>
      <c r="C265" s="41"/>
      <c r="D265" s="41"/>
      <c r="E265" s="41"/>
      <c r="F265" s="41"/>
      <c r="G265" s="41"/>
      <c r="H265" s="41"/>
      <c r="I265" s="16">
        <f>SUM(I263:I263)</f>
        <v>0</v>
      </c>
      <c r="J265" s="16">
        <f>SUM(J263:J263)</f>
        <v>0</v>
      </c>
    </row>
    <row r="268" spans="1:10">
      <c r="A268" s="2">
        <v>15</v>
      </c>
      <c r="B268" s="2" t="s">
        <v>14</v>
      </c>
      <c r="C268" s="2"/>
      <c r="D268" s="2"/>
      <c r="E268" s="2"/>
      <c r="F268" s="2"/>
      <c r="G268" s="2"/>
      <c r="H268" s="2"/>
      <c r="I268" s="13"/>
      <c r="J268" s="13" t="s">
        <v>4</v>
      </c>
    </row>
    <row r="269" spans="1:10">
      <c r="A269" s="2"/>
      <c r="B269" s="36" t="s">
        <v>5</v>
      </c>
      <c r="C269" s="37"/>
      <c r="D269" s="37"/>
      <c r="E269" s="37"/>
      <c r="F269" s="37"/>
      <c r="G269" s="37"/>
      <c r="H269" s="37"/>
      <c r="I269" s="39">
        <v>46112</v>
      </c>
      <c r="J269" s="39">
        <v>45747</v>
      </c>
    </row>
    <row r="270" spans="1:10">
      <c r="B270" s="32"/>
      <c r="C270" s="1"/>
      <c r="D270" s="1"/>
      <c r="E270" s="1"/>
      <c r="F270" s="1"/>
      <c r="G270" s="1"/>
      <c r="H270" s="1"/>
    </row>
    <row r="271" spans="1:10">
      <c r="B271" s="32" t="s">
        <v>241</v>
      </c>
      <c r="C271" s="1"/>
      <c r="D271" s="1"/>
      <c r="E271" s="1"/>
      <c r="F271" s="1"/>
      <c r="G271" s="1"/>
      <c r="H271" s="1"/>
      <c r="I271" s="12">
        <f>TB!$C$156-TB!$D$156</f>
        <v>6181692</v>
      </c>
      <c r="J271" s="12">
        <f>0</f>
        <v>0</v>
      </c>
    </row>
    <row r="272" spans="1:10">
      <c r="B272" s="32" t="s">
        <v>242</v>
      </c>
      <c r="C272" s="1"/>
      <c r="D272" s="1"/>
      <c r="E272" s="1"/>
      <c r="F272" s="1"/>
      <c r="G272" s="1"/>
      <c r="H272" s="1"/>
      <c r="I272" s="12">
        <f>TB!$C$157-TB!$D$157</f>
        <v>150000</v>
      </c>
      <c r="J272" s="12">
        <f>0</f>
        <v>0</v>
      </c>
    </row>
    <row r="273" spans="2:10">
      <c r="B273" s="32" t="s">
        <v>244</v>
      </c>
      <c r="C273" s="1"/>
      <c r="D273" s="1"/>
      <c r="E273" s="1"/>
      <c r="F273" s="1"/>
      <c r="G273" s="1"/>
      <c r="H273" s="1"/>
      <c r="I273" s="12">
        <f>TB!$C$159-TB!$D$159</f>
        <v>1783480.79</v>
      </c>
      <c r="J273" s="12">
        <f>0</f>
        <v>0</v>
      </c>
    </row>
    <row r="274" spans="2:10">
      <c r="B274" s="32" t="s">
        <v>245</v>
      </c>
      <c r="C274" s="1"/>
      <c r="D274" s="1"/>
      <c r="E274" s="1"/>
      <c r="F274" s="1"/>
      <c r="G274" s="1"/>
      <c r="H274" s="1"/>
      <c r="I274" s="12">
        <f>TB!$C$160-TB!$D$160</f>
        <v>71745.47</v>
      </c>
      <c r="J274" s="12">
        <f>0</f>
        <v>0</v>
      </c>
    </row>
    <row r="275" spans="2:10">
      <c r="B275" s="32" t="s">
        <v>246</v>
      </c>
      <c r="C275" s="1"/>
      <c r="D275" s="1"/>
      <c r="E275" s="1"/>
      <c r="F275" s="1"/>
      <c r="G275" s="1"/>
      <c r="H275" s="1"/>
      <c r="I275" s="12">
        <f>TB!$C$161-TB!$D$161</f>
        <v>9980</v>
      </c>
      <c r="J275" s="12">
        <f>0</f>
        <v>0</v>
      </c>
    </row>
    <row r="276" spans="2:10">
      <c r="B276" s="32" t="s">
        <v>247</v>
      </c>
      <c r="C276" s="1"/>
      <c r="D276" s="1"/>
      <c r="E276" s="1"/>
      <c r="F276" s="1"/>
      <c r="G276" s="1"/>
      <c r="H276" s="1"/>
      <c r="I276" s="12">
        <f>TB!$C$162-TB!$D$162</f>
        <v>20501.990000000002</v>
      </c>
      <c r="J276" s="12">
        <f>0</f>
        <v>0</v>
      </c>
    </row>
    <row r="277" spans="2:10">
      <c r="B277" s="32" t="s">
        <v>248</v>
      </c>
      <c r="C277" s="1"/>
      <c r="D277" s="1"/>
      <c r="E277" s="1"/>
      <c r="F277" s="1"/>
      <c r="G277" s="1"/>
      <c r="H277" s="1"/>
      <c r="I277" s="12">
        <f>TB!$C$163-TB!$D$163</f>
        <v>7317</v>
      </c>
      <c r="J277" s="12">
        <f>0</f>
        <v>0</v>
      </c>
    </row>
    <row r="278" spans="2:10">
      <c r="B278" s="32" t="s">
        <v>249</v>
      </c>
      <c r="C278" s="1"/>
      <c r="D278" s="1"/>
      <c r="E278" s="1"/>
      <c r="F278" s="1"/>
      <c r="G278" s="1"/>
      <c r="H278" s="1"/>
      <c r="I278" s="12">
        <f>TB!$C$164-TB!$D$164</f>
        <v>31200.03</v>
      </c>
      <c r="J278" s="12">
        <f>0</f>
        <v>0</v>
      </c>
    </row>
    <row r="279" spans="2:10">
      <c r="B279" s="32" t="s">
        <v>250</v>
      </c>
      <c r="C279" s="1"/>
      <c r="D279" s="1"/>
      <c r="E279" s="1"/>
      <c r="F279" s="1"/>
      <c r="G279" s="1"/>
      <c r="H279" s="1"/>
      <c r="I279" s="12">
        <f>TB!$C$165-TB!$D$165</f>
        <v>320</v>
      </c>
      <c r="J279" s="12">
        <f>0</f>
        <v>0</v>
      </c>
    </row>
    <row r="280" spans="2:10">
      <c r="B280" s="32" t="s">
        <v>251</v>
      </c>
      <c r="C280" s="1"/>
      <c r="D280" s="1"/>
      <c r="E280" s="1"/>
      <c r="F280" s="1"/>
      <c r="G280" s="1"/>
      <c r="H280" s="1"/>
      <c r="I280" s="12">
        <f>TB!$C$166-TB!$D$166</f>
        <v>5262</v>
      </c>
      <c r="J280" s="12">
        <f>0</f>
        <v>0</v>
      </c>
    </row>
    <row r="281" spans="2:10">
      <c r="B281" s="32" t="s">
        <v>252</v>
      </c>
      <c r="C281" s="1"/>
      <c r="D281" s="1"/>
      <c r="E281" s="1"/>
      <c r="F281" s="1"/>
      <c r="G281" s="1"/>
      <c r="H281" s="1"/>
      <c r="I281" s="12">
        <f>TB!$C$167-TB!$D$167</f>
        <v>421969</v>
      </c>
      <c r="J281" s="12">
        <f>0</f>
        <v>0</v>
      </c>
    </row>
    <row r="282" spans="2:10">
      <c r="B282" s="32" t="s">
        <v>253</v>
      </c>
      <c r="C282" s="1"/>
      <c r="D282" s="1"/>
      <c r="E282" s="1"/>
      <c r="F282" s="1"/>
      <c r="G282" s="1"/>
      <c r="H282" s="1"/>
      <c r="I282" s="12">
        <f>TB!$C$168-TB!$D$168</f>
        <v>0</v>
      </c>
      <c r="J282" s="12">
        <f>0</f>
        <v>0</v>
      </c>
    </row>
    <row r="283" spans="2:10">
      <c r="B283" s="32" t="s">
        <v>254</v>
      </c>
      <c r="C283" s="1"/>
      <c r="D283" s="1"/>
      <c r="E283" s="1"/>
      <c r="F283" s="1"/>
      <c r="G283" s="1"/>
      <c r="H283" s="1"/>
      <c r="I283" s="12">
        <f>TB!$C$169-TB!$D$169</f>
        <v>134048</v>
      </c>
      <c r="J283" s="12">
        <f>0</f>
        <v>0</v>
      </c>
    </row>
    <row r="284" spans="2:10">
      <c r="B284" s="32" t="s">
        <v>255</v>
      </c>
      <c r="C284" s="1"/>
      <c r="D284" s="1"/>
      <c r="E284" s="1"/>
      <c r="F284" s="1"/>
      <c r="G284" s="1"/>
      <c r="H284" s="1"/>
      <c r="I284" s="12">
        <f>TB!$C$170-TB!$D$170</f>
        <v>71875</v>
      </c>
      <c r="J284" s="12">
        <f>0</f>
        <v>0</v>
      </c>
    </row>
    <row r="285" spans="2:10">
      <c r="B285" s="32" t="s">
        <v>256</v>
      </c>
      <c r="C285" s="1"/>
      <c r="D285" s="1"/>
      <c r="E285" s="1"/>
      <c r="F285" s="1"/>
      <c r="G285" s="1"/>
      <c r="H285" s="1"/>
      <c r="I285" s="12">
        <f>TB!$C$171-TB!$D$171</f>
        <v>13500</v>
      </c>
      <c r="J285" s="12">
        <f>0</f>
        <v>0</v>
      </c>
    </row>
    <row r="286" spans="2:10">
      <c r="B286" s="32" t="s">
        <v>257</v>
      </c>
      <c r="C286" s="1"/>
      <c r="D286" s="1"/>
      <c r="E286" s="1"/>
      <c r="F286" s="1"/>
      <c r="G286" s="1"/>
      <c r="H286" s="1"/>
      <c r="I286" s="12">
        <f>TB!$C$172-TB!$D$172</f>
        <v>33902</v>
      </c>
      <c r="J286" s="12">
        <f>0</f>
        <v>0</v>
      </c>
    </row>
    <row r="287" spans="2:10">
      <c r="B287" s="32" t="s">
        <v>258</v>
      </c>
      <c r="C287" s="1"/>
      <c r="D287" s="1"/>
      <c r="E287" s="1"/>
      <c r="F287" s="1"/>
      <c r="G287" s="1"/>
      <c r="H287" s="1"/>
      <c r="I287" s="12">
        <f>TB!$C$173-TB!$D$173</f>
        <v>109760.1</v>
      </c>
      <c r="J287" s="12">
        <f>0</f>
        <v>0</v>
      </c>
    </row>
    <row r="288" spans="2:10">
      <c r="B288" s="32" t="s">
        <v>259</v>
      </c>
      <c r="C288" s="1"/>
      <c r="D288" s="1"/>
      <c r="E288" s="1"/>
      <c r="F288" s="1"/>
      <c r="G288" s="1"/>
      <c r="H288" s="1"/>
      <c r="I288" s="12">
        <f>TB!$C$174-TB!$D$174</f>
        <v>137649.54</v>
      </c>
      <c r="J288" s="12">
        <f>0</f>
        <v>0</v>
      </c>
    </row>
    <row r="289" spans="1:10">
      <c r="B289" s="32" t="s">
        <v>260</v>
      </c>
      <c r="C289" s="1"/>
      <c r="D289" s="1"/>
      <c r="E289" s="1"/>
      <c r="F289" s="1"/>
      <c r="G289" s="1"/>
      <c r="H289" s="1"/>
      <c r="I289" s="12">
        <f>TB!$C$175-TB!$D$175</f>
        <v>-62.67</v>
      </c>
      <c r="J289" s="12">
        <f>0</f>
        <v>0</v>
      </c>
    </row>
    <row r="290" spans="1:10">
      <c r="B290" s="32" t="s">
        <v>261</v>
      </c>
      <c r="C290" s="1"/>
      <c r="D290" s="1"/>
      <c r="E290" s="1"/>
      <c r="F290" s="1"/>
      <c r="G290" s="1"/>
      <c r="H290" s="1"/>
      <c r="I290" s="12">
        <f>TB!$C$176-TB!$D$176</f>
        <v>215468</v>
      </c>
      <c r="J290" s="12">
        <f>0</f>
        <v>0</v>
      </c>
    </row>
    <row r="291" spans="1:10">
      <c r="B291" s="32" t="s">
        <v>262</v>
      </c>
      <c r="C291" s="1"/>
      <c r="D291" s="1"/>
      <c r="E291" s="1"/>
      <c r="F291" s="1"/>
      <c r="G291" s="1"/>
      <c r="H291" s="1"/>
      <c r="I291" s="12">
        <f>TB!$C$177-TB!$D$177</f>
        <v>10683</v>
      </c>
      <c r="J291" s="12">
        <f>0</f>
        <v>0</v>
      </c>
    </row>
    <row r="292" spans="1:10">
      <c r="B292" s="32" t="s">
        <v>263</v>
      </c>
      <c r="C292" s="1"/>
      <c r="D292" s="1"/>
      <c r="E292" s="1"/>
      <c r="F292" s="1"/>
      <c r="G292" s="1"/>
      <c r="H292" s="1"/>
      <c r="I292" s="12">
        <f>TB!$C$178-TB!$D$178</f>
        <v>23160</v>
      </c>
      <c r="J292" s="12">
        <f>0</f>
        <v>0</v>
      </c>
    </row>
    <row r="293" spans="1:10">
      <c r="B293" s="32" t="s">
        <v>264</v>
      </c>
      <c r="C293" s="1"/>
      <c r="D293" s="1"/>
      <c r="E293" s="1"/>
      <c r="F293" s="1"/>
      <c r="G293" s="1"/>
      <c r="H293" s="1"/>
      <c r="I293" s="12">
        <f>TB!$C$179-TB!$D$179</f>
        <v>609398.35</v>
      </c>
      <c r="J293" s="12">
        <f>0</f>
        <v>0</v>
      </c>
    </row>
    <row r="294" spans="1:10">
      <c r="B294" s="32" t="s">
        <v>265</v>
      </c>
      <c r="C294" s="1"/>
      <c r="D294" s="1"/>
      <c r="E294" s="1"/>
      <c r="F294" s="1"/>
      <c r="G294" s="1"/>
      <c r="H294" s="1"/>
      <c r="I294" s="12">
        <f>TB!$C$180-TB!$D$180</f>
        <v>960</v>
      </c>
      <c r="J294" s="12">
        <f>0</f>
        <v>0</v>
      </c>
    </row>
    <row r="295" spans="1:10">
      <c r="B295" s="32" t="s">
        <v>266</v>
      </c>
      <c r="C295" s="1"/>
      <c r="D295" s="1"/>
      <c r="E295" s="1"/>
      <c r="F295" s="1"/>
      <c r="G295" s="1"/>
      <c r="H295" s="1"/>
      <c r="I295" s="12">
        <f>TB!$C$181-TB!$D$181</f>
        <v>20936</v>
      </c>
      <c r="J295" s="12">
        <f>0</f>
        <v>0</v>
      </c>
    </row>
    <row r="296" spans="1:10">
      <c r="B296" s="32" t="s">
        <v>267</v>
      </c>
      <c r="C296" s="1"/>
      <c r="D296" s="1"/>
      <c r="E296" s="1"/>
      <c r="F296" s="1"/>
      <c r="G296" s="1"/>
      <c r="H296" s="1"/>
      <c r="I296" s="12">
        <f>TB!$C$182-TB!$D$182</f>
        <v>71143.259999999995</v>
      </c>
      <c r="J296" s="12">
        <f>0</f>
        <v>0</v>
      </c>
    </row>
    <row r="297" spans="1:10">
      <c r="B297" s="32" t="s">
        <v>268</v>
      </c>
      <c r="C297" s="1"/>
      <c r="D297" s="1"/>
      <c r="E297" s="1"/>
      <c r="F297" s="1"/>
      <c r="G297" s="1"/>
      <c r="H297" s="1"/>
      <c r="I297" s="12">
        <f>TB!$C$183-TB!$D$183</f>
        <v>41985</v>
      </c>
      <c r="J297" s="12">
        <f>0</f>
        <v>0</v>
      </c>
    </row>
    <row r="298" spans="1:10">
      <c r="B298" s="32"/>
      <c r="C298" s="1"/>
      <c r="D298" s="1"/>
      <c r="E298" s="1"/>
      <c r="F298" s="1"/>
      <c r="G298" s="1"/>
      <c r="H298" s="1"/>
    </row>
    <row r="299" spans="1:10">
      <c r="A299" s="2"/>
      <c r="B299" s="40" t="s">
        <v>48</v>
      </c>
      <c r="C299" s="41"/>
      <c r="D299" s="41"/>
      <c r="E299" s="41"/>
      <c r="F299" s="41"/>
      <c r="G299" s="41"/>
      <c r="H299" s="41"/>
      <c r="I299" s="16">
        <f>SUM(I271:I297)</f>
        <v>10177873.859999999</v>
      </c>
      <c r="J299" s="16">
        <f>SUM(J271:J297)</f>
        <v>0</v>
      </c>
    </row>
    <row r="302" spans="1:10">
      <c r="A302" s="2">
        <v>16</v>
      </c>
      <c r="B302" s="2" t="s">
        <v>21</v>
      </c>
      <c r="C302" s="2"/>
      <c r="D302" s="2"/>
      <c r="E302" s="2"/>
      <c r="F302" s="2"/>
      <c r="G302" s="2"/>
      <c r="H302" s="2"/>
      <c r="I302" s="13"/>
      <c r="J302" s="13" t="s">
        <v>4</v>
      </c>
    </row>
    <row r="303" spans="1:10">
      <c r="A303" s="2"/>
      <c r="B303" s="36" t="s">
        <v>5</v>
      </c>
      <c r="C303" s="37"/>
      <c r="D303" s="37"/>
      <c r="E303" s="37"/>
      <c r="F303" s="37"/>
      <c r="G303" s="37"/>
      <c r="H303" s="37"/>
      <c r="I303" s="39">
        <v>46112</v>
      </c>
      <c r="J303" s="39">
        <v>45747</v>
      </c>
    </row>
    <row r="304" spans="1:10">
      <c r="B304" s="32"/>
      <c r="C304" s="1"/>
      <c r="D304" s="1"/>
      <c r="E304" s="1"/>
      <c r="F304" s="1"/>
      <c r="G304" s="1"/>
      <c r="H304" s="1"/>
    </row>
    <row r="305" spans="1:10">
      <c r="B305" s="32" t="s">
        <v>293</v>
      </c>
      <c r="C305" s="1"/>
      <c r="D305" s="1"/>
      <c r="E305" s="1"/>
      <c r="F305" s="1"/>
      <c r="G305" s="1"/>
      <c r="H305" s="1"/>
      <c r="I305" s="12">
        <f>0</f>
        <v>0</v>
      </c>
      <c r="J305" s="12">
        <f>0</f>
        <v>0</v>
      </c>
    </row>
    <row r="306" spans="1:10">
      <c r="B306" s="32" t="s">
        <v>294</v>
      </c>
      <c r="C306" s="1"/>
      <c r="D306" s="1"/>
      <c r="E306" s="1"/>
      <c r="F306" s="1"/>
      <c r="G306" s="1"/>
      <c r="H306" s="1"/>
      <c r="I306" s="12">
        <f>0</f>
        <v>0</v>
      </c>
      <c r="J306" s="12">
        <f>0</f>
        <v>0</v>
      </c>
    </row>
    <row r="307" spans="1:10">
      <c r="B307" s="32"/>
      <c r="C307" s="1"/>
      <c r="D307" s="1"/>
      <c r="E307" s="1"/>
      <c r="F307" s="1"/>
      <c r="G307" s="1"/>
      <c r="H307" s="1"/>
    </row>
    <row r="308" spans="1:10">
      <c r="A308" s="2"/>
      <c r="B308" s="40" t="s">
        <v>48</v>
      </c>
      <c r="C308" s="41"/>
      <c r="D308" s="41"/>
      <c r="E308" s="41"/>
      <c r="F308" s="41"/>
      <c r="G308" s="41"/>
      <c r="H308" s="41"/>
      <c r="I308" s="16">
        <f>SUM(I305:I306)</f>
        <v>0</v>
      </c>
      <c r="J308" s="16">
        <f>SUM(J305:J306)</f>
        <v>0</v>
      </c>
    </row>
    <row r="311" spans="1:10">
      <c r="A311" s="2">
        <v>17</v>
      </c>
      <c r="B311" s="36" t="s">
        <v>295</v>
      </c>
      <c r="C311" s="37"/>
      <c r="D311" s="37"/>
      <c r="E311" s="37"/>
      <c r="F311" s="37"/>
      <c r="G311" s="37"/>
      <c r="H311" s="37"/>
      <c r="I311" s="38"/>
      <c r="J311" s="38" t="s">
        <v>4</v>
      </c>
    </row>
    <row r="312" spans="1:10">
      <c r="A312" s="2"/>
      <c r="B312" s="33" t="s">
        <v>5</v>
      </c>
      <c r="C312" s="3"/>
      <c r="D312" s="3"/>
      <c r="E312" s="3"/>
      <c r="F312" s="3"/>
      <c r="G312" s="3"/>
      <c r="H312" s="3"/>
      <c r="I312" s="35">
        <v>46112</v>
      </c>
      <c r="J312" s="35">
        <v>45747</v>
      </c>
    </row>
    <row r="313" spans="1:10">
      <c r="B313" s="32"/>
      <c r="C313" s="1"/>
      <c r="D313" s="1"/>
      <c r="E313" s="1"/>
      <c r="F313" s="1"/>
      <c r="G313" s="1"/>
      <c r="H313" s="1"/>
    </row>
    <row r="314" spans="1:10">
      <c r="B314" s="32" t="s">
        <v>296</v>
      </c>
      <c r="C314" s="1"/>
      <c r="D314" s="1"/>
      <c r="E314" s="1"/>
      <c r="F314" s="1"/>
      <c r="G314" s="1"/>
      <c r="H314" s="1"/>
    </row>
    <row r="315" spans="1:10">
      <c r="B315" s="32" t="s">
        <v>297</v>
      </c>
      <c r="C315" s="1"/>
      <c r="D315" s="1"/>
      <c r="E315" s="1"/>
      <c r="F315" s="1"/>
      <c r="G315" s="1"/>
      <c r="H315" s="1"/>
    </row>
    <row r="316" spans="1:10">
      <c r="B316" s="32"/>
      <c r="C316" s="1"/>
      <c r="D316" s="1"/>
      <c r="E316" s="1"/>
      <c r="F316" s="1"/>
      <c r="G316" s="1"/>
      <c r="H316" s="1"/>
    </row>
    <row r="317" spans="1:10">
      <c r="A317" s="2"/>
      <c r="B317" s="40" t="s">
        <v>48</v>
      </c>
      <c r="C317" s="41"/>
      <c r="D317" s="41"/>
      <c r="E317" s="41"/>
      <c r="F317" s="41"/>
      <c r="G317" s="41"/>
      <c r="H317" s="41"/>
      <c r="I317" s="16">
        <f>0</f>
        <v>0</v>
      </c>
      <c r="J317" s="16">
        <f>0</f>
        <v>0</v>
      </c>
    </row>
    <row r="320" spans="1:10">
      <c r="A320" s="2"/>
      <c r="B320" s="2" t="s">
        <v>298</v>
      </c>
      <c r="C320" s="2"/>
      <c r="D320" s="2"/>
      <c r="E320" s="2"/>
      <c r="F320" s="2"/>
      <c r="G320" s="2"/>
      <c r="H320" s="2"/>
      <c r="I320" s="13"/>
      <c r="J320" s="13"/>
    </row>
    <row r="321" spans="2:10">
      <c r="B321" t="s">
        <v>56</v>
      </c>
      <c r="I321" s="12">
        <f>BS!$C$24</f>
        <v>11594583.84</v>
      </c>
      <c r="J321" s="12">
        <f>BS!$D$24</f>
        <v>0</v>
      </c>
    </row>
    <row r="322" spans="2:10">
      <c r="B322" t="s">
        <v>69</v>
      </c>
      <c r="I322" s="12">
        <f>BS!$C$42</f>
        <v>11594583.84</v>
      </c>
      <c r="J322" s="12">
        <f>BS!$D$42</f>
        <v>0</v>
      </c>
    </row>
    <row r="323" spans="2:10">
      <c r="B323" t="s">
        <v>299</v>
      </c>
      <c r="I323" s="12">
        <f>I322-I321</f>
        <v>0</v>
      </c>
      <c r="J323" s="12">
        <f>J322-J321</f>
        <v>0</v>
      </c>
    </row>
  </sheetData>
  <mergeCells count="3">
    <mergeCell ref="A1:J2"/>
    <mergeCell ref="A3:J3"/>
    <mergeCell ref="A4:J4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P&amp;L</vt:lpstr>
      <vt:lpstr>BS</vt:lpstr>
      <vt:lpstr>Fixed Assets</vt:lpstr>
      <vt:lpstr>TB</vt:lpstr>
      <vt:lpstr>Notes</vt:lpstr>
      <vt:lpstr>BS!Print_Area</vt:lpstr>
      <vt:lpstr>'P&amp;L'!Print_Area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| Capsol</cp:lastModifiedBy>
  <cp:lastPrinted>2026-08-01T04:33:08Z</cp:lastPrinted>
  <dcterms:modified xsi:type="dcterms:W3CDTF">2026-08-13T11:54:02Z</dcterms:modified>
</cp:coreProperties>
</file>