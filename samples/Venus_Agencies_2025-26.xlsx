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AD-5\Admin 5\Audit and Financial Statements\FY 2025-26\Venus Agencies\Report\"/>
    </mc:Choice>
  </mc:AlternateContent>
  <xr:revisionPtr revIDLastSave="0" documentId="13_ncr:1_{CE627A5F-75FE-444F-BC8A-F54AEF735F3A}" xr6:coauthVersionLast="47" xr6:coauthVersionMax="47" xr10:uidLastSave="{00000000-0000-0000-0000-000000000000}"/>
  <bookViews>
    <workbookView xWindow="-120" yWindow="-120" windowWidth="20730" windowHeight="11040" firstSheet="1" activeTab="6" xr2:uid="{00000000-000D-0000-FFFF-FFFF00000000}"/>
  </bookViews>
  <sheets>
    <sheet name="Balance Sheet" sheetId="7" r:id="rId1"/>
    <sheet name="Profit &amp; Loss" sheetId="8" r:id="rId2"/>
    <sheet name="BS Schedules" sheetId="5" r:id="rId3"/>
    <sheet name="P&amp;L Notes" sheetId="6" r:id="rId4"/>
    <sheet name="PPE" sheetId="14" r:id="rId5"/>
    <sheet name="TB" sheetId="13" r:id="rId6"/>
    <sheet name="Accounting policies" sheetId="15" r:id="rId7"/>
  </sheets>
  <definedNames>
    <definedName name="_xlnm.Print_Area" localSheetId="0">'Balance Sheet'!$B$1:$E$34</definedName>
    <definedName name="_xlnm.Print_Area" localSheetId="2">'BS Schedules'!$B$1:$E$66</definedName>
    <definedName name="_xlnm.Print_Area" localSheetId="3">'P&amp;L Notes'!$B$1:$E$39</definedName>
    <definedName name="_xlnm.Print_Area" localSheetId="1">'Profit &amp; Loss'!$B$1:$E$24</definedName>
    <definedName name="_xlnm.Print_Titles" localSheetId="0">'Balance Sheet'!$4:$4</definedName>
    <definedName name="_xlnm.Print_Titles" localSheetId="2">'BS Schedules'!$4:$4</definedName>
    <definedName name="_xlnm.Print_Titles" localSheetId="3">'P&amp;L Notes'!$4:$4</definedName>
    <definedName name="_xlnm.Print_Titles" localSheetId="1">'Profit &amp; Loss'!$4:$4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6" l="1"/>
  <c r="C14" i="5"/>
  <c r="D9" i="5"/>
  <c r="D57" i="5" l="1"/>
  <c r="D76" i="5"/>
  <c r="E21" i="7" s="1"/>
  <c r="E20" i="7"/>
  <c r="D42" i="5"/>
  <c r="E14" i="7"/>
  <c r="D14" i="5"/>
  <c r="C15" i="5"/>
  <c r="D16" i="5"/>
  <c r="D12" i="5"/>
  <c r="D17" i="5" l="1"/>
  <c r="D18" i="5"/>
  <c r="E18" i="5" s="1"/>
  <c r="C26" i="6" l="1"/>
  <c r="D15" i="6"/>
  <c r="D17" i="6" s="1"/>
  <c r="D14" i="7" l="1"/>
  <c r="C10" i="5"/>
  <c r="E9" i="7"/>
  <c r="E8" i="7"/>
  <c r="E7" i="7"/>
  <c r="E6" i="7"/>
  <c r="D7" i="7"/>
  <c r="C74" i="5"/>
  <c r="C70" i="5"/>
  <c r="D20" i="7" s="1"/>
  <c r="D66" i="5"/>
  <c r="C65" i="5"/>
  <c r="C64" i="5"/>
  <c r="C63" i="5"/>
  <c r="C62" i="5"/>
  <c r="C66" i="5" s="1"/>
  <c r="D58" i="5"/>
  <c r="C57" i="5"/>
  <c r="C56" i="5"/>
  <c r="C55" i="5"/>
  <c r="C50" i="5"/>
  <c r="D46" i="5"/>
  <c r="E15" i="7"/>
  <c r="D34" i="5"/>
  <c r="E10" i="7" s="1"/>
  <c r="C28" i="5"/>
  <c r="D24" i="5"/>
  <c r="C41" i="5"/>
  <c r="C39" i="5"/>
  <c r="C38" i="5"/>
  <c r="C33" i="5"/>
  <c r="C34" i="5" s="1"/>
  <c r="D10" i="7" s="1"/>
  <c r="C23" i="5"/>
  <c r="C24" i="5" s="1"/>
  <c r="C9" i="5"/>
  <c r="C8" i="5"/>
  <c r="D8" i="8"/>
  <c r="C37" i="6"/>
  <c r="D33" i="6"/>
  <c r="C32" i="6"/>
  <c r="C31" i="6"/>
  <c r="C29" i="6"/>
  <c r="C28" i="6"/>
  <c r="C27" i="6"/>
  <c r="C25" i="6"/>
  <c r="C24" i="6"/>
  <c r="C23" i="6"/>
  <c r="C22" i="6"/>
  <c r="C21" i="6"/>
  <c r="C5" i="6"/>
  <c r="C16" i="6"/>
  <c r="C46" i="5" s="1"/>
  <c r="C15" i="6"/>
  <c r="C14" i="6"/>
  <c r="C13" i="6"/>
  <c r="E11" i="14"/>
  <c r="D11" i="14"/>
  <c r="C11" i="14"/>
  <c r="G10" i="14"/>
  <c r="H10" i="14" s="1"/>
  <c r="G9" i="14"/>
  <c r="H9" i="14" s="1"/>
  <c r="G8" i="14"/>
  <c r="H8" i="14" s="1"/>
  <c r="G7" i="14"/>
  <c r="H7" i="14" s="1"/>
  <c r="G6" i="14"/>
  <c r="G5" i="14"/>
  <c r="H5" i="14" s="1"/>
  <c r="G4" i="14"/>
  <c r="H4" i="14" s="1"/>
  <c r="E11" i="7" l="1"/>
  <c r="D21" i="7"/>
  <c r="C76" i="5"/>
  <c r="C42" i="5"/>
  <c r="D15" i="7" s="1"/>
  <c r="C17" i="6"/>
  <c r="D8" i="7"/>
  <c r="C33" i="6"/>
  <c r="C58" i="5"/>
  <c r="C17" i="5"/>
  <c r="G11" i="14"/>
  <c r="H6" i="14"/>
  <c r="H11" i="14" s="1"/>
  <c r="E8" i="8" l="1"/>
  <c r="E5" i="8"/>
  <c r="E18" i="7"/>
  <c r="E17" i="7"/>
  <c r="B16" i="8"/>
  <c r="D19" i="7"/>
  <c r="E19" i="7"/>
  <c r="E16" i="7"/>
  <c r="D38" i="6"/>
  <c r="E11" i="8" s="1"/>
  <c r="E10" i="8"/>
  <c r="E22" i="7" l="1"/>
  <c r="D5" i="8"/>
  <c r="D16" i="7"/>
  <c r="E6" i="8"/>
  <c r="E7" i="8" s="1"/>
  <c r="E9" i="8" s="1"/>
  <c r="E12" i="8" s="1"/>
  <c r="D18" i="7"/>
  <c r="C38" i="6"/>
  <c r="D11" i="8" s="1"/>
  <c r="D17" i="7"/>
  <c r="D22" i="7" l="1"/>
  <c r="G22" i="7"/>
  <c r="D9" i="7"/>
  <c r="D6" i="8"/>
  <c r="D7" i="8" s="1"/>
  <c r="D9" i="8" s="1"/>
  <c r="D10" i="8" l="1"/>
  <c r="D12" i="8" s="1"/>
  <c r="C7" i="5" s="1"/>
  <c r="C12" i="5" s="1"/>
  <c r="C18" i="5" s="1"/>
  <c r="D6" i="7" l="1"/>
  <c r="D11" i="7" s="1"/>
  <c r="F22" i="7" s="1"/>
</calcChain>
</file>

<file path=xl/sharedStrings.xml><?xml version="1.0" encoding="utf-8"?>
<sst xmlns="http://schemas.openxmlformats.org/spreadsheetml/2006/main" count="312" uniqueCount="224">
  <si>
    <t>Particulars</t>
  </si>
  <si>
    <t>Trade Payables</t>
  </si>
  <si>
    <t>Investments</t>
  </si>
  <si>
    <t>Trade Receivables</t>
  </si>
  <si>
    <t>Cash in Hand</t>
  </si>
  <si>
    <t>Revenue from Operations</t>
  </si>
  <si>
    <t>Opening Stock</t>
  </si>
  <si>
    <t>Note</t>
  </si>
  <si>
    <t>Closing Stock / Inventory</t>
  </si>
  <si>
    <t>BALANCE SHEET SCHEDULES – CONSOLIDATED</t>
  </si>
  <si>
    <t>NOTE 2 – BORROWINGS</t>
  </si>
  <si>
    <t>Total Borrowings</t>
  </si>
  <si>
    <t>NOTE 3 – TRADE PAYABLES</t>
  </si>
  <si>
    <t>Sundry Creditors / Trade Payables</t>
  </si>
  <si>
    <t>NOTE 4 – OTHER CURRENT LIABILITIES &amp; PROVISIONS</t>
  </si>
  <si>
    <t>Total Other Current Liabilities &amp; Provisions</t>
  </si>
  <si>
    <t>Sundry Debtors / Trade Receivables</t>
  </si>
  <si>
    <t>Total Cash &amp; Bank</t>
  </si>
  <si>
    <t>Sales / Revenue from Operations</t>
  </si>
  <si>
    <t>Less: Closing Stock</t>
  </si>
  <si>
    <t>Cost of Goods Sold</t>
  </si>
  <si>
    <t>Gross Profit / (Loss)</t>
  </si>
  <si>
    <t>Total Operating &amp; Other Expenses</t>
  </si>
  <si>
    <t>Total Finance Costs</t>
  </si>
  <si>
    <t>CAPITAL &amp; LIABILITIES</t>
  </si>
  <si>
    <t>Other Current Liabilities &amp; Provisions</t>
  </si>
  <si>
    <t>Total Capital &amp; Liabilities</t>
  </si>
  <si>
    <t>ASSETS</t>
  </si>
  <si>
    <t>Inventories</t>
  </si>
  <si>
    <t>Cash &amp; Bank Balances</t>
  </si>
  <si>
    <t>Other Current Assets</t>
  </si>
  <si>
    <t>Total Assets</t>
  </si>
  <si>
    <t>Less: Cost of Goods Sold</t>
  </si>
  <si>
    <t>Add: Other Income</t>
  </si>
  <si>
    <t>Gross Profit / (Loss) incl. Other Income</t>
  </si>
  <si>
    <t>Less: Operating &amp; Other Expenses</t>
  </si>
  <si>
    <t>Less: Finance Costs</t>
  </si>
  <si>
    <t>Balance Sheet AS AT 31.03.2026</t>
  </si>
  <si>
    <t>FY 2024-25 (₹)</t>
  </si>
  <si>
    <t>FY 2025-26 (₹)</t>
  </si>
  <si>
    <t>Trading &amp; Profit and Loss Account for the year ended 31.03.2026</t>
  </si>
  <si>
    <t>For R.K.Tantry &amp; co</t>
  </si>
  <si>
    <t>Chartered Accountants</t>
  </si>
  <si>
    <t>Firm Reg no.:004335S</t>
  </si>
  <si>
    <t>Radhakrishna Tantry</t>
  </si>
  <si>
    <t>Membership No.024012</t>
  </si>
  <si>
    <t>Partner :</t>
  </si>
  <si>
    <t>PROFIT &amp; LOSS NOTES – CONSOLIDATED</t>
  </si>
  <si>
    <t>Total</t>
  </si>
  <si>
    <t>Total Other Income</t>
  </si>
  <si>
    <t>Rates and Taxes</t>
  </si>
  <si>
    <t>Depreciation</t>
  </si>
  <si>
    <t>Trial Balance</t>
  </si>
  <si>
    <t>1-Apr-25 to 31-Mar-26</t>
  </si>
  <si>
    <t/>
  </si>
  <si>
    <t>Debit</t>
  </si>
  <si>
    <t>Credit</t>
  </si>
  <si>
    <t>Capital Account</t>
  </si>
  <si>
    <t>Loans (Liability)</t>
  </si>
  <si>
    <t>Current Liabilities</t>
  </si>
  <si>
    <t>Duties &amp; Taxes</t>
  </si>
  <si>
    <t>Sundry Creditors</t>
  </si>
  <si>
    <t>Fixed Assets</t>
  </si>
  <si>
    <t>Current Assets</t>
  </si>
  <si>
    <t>Loans &amp; Advances</t>
  </si>
  <si>
    <t>Sundry Debtors</t>
  </si>
  <si>
    <t>Cash-in-hand</t>
  </si>
  <si>
    <t>Bank Accounts</t>
  </si>
  <si>
    <t>Advance Income Tax</t>
  </si>
  <si>
    <t>Sales Accounts</t>
  </si>
  <si>
    <t>Purchase Accounts</t>
  </si>
  <si>
    <t>Indirect Incomes</t>
  </si>
  <si>
    <t>Indirect Expenses</t>
  </si>
  <si>
    <t>Audit Fees</t>
  </si>
  <si>
    <t>Vehicle Insurance</t>
  </si>
  <si>
    <t>Grand Total</t>
  </si>
  <si>
    <t>Closing Balance</t>
  </si>
  <si>
    <t>Venus Agencies</t>
  </si>
  <si>
    <t>Profit &amp; Loss A/c</t>
  </si>
  <si>
    <t>Vehicle Maintainance</t>
  </si>
  <si>
    <t>Telephone Charges</t>
  </si>
  <si>
    <t>Tally Software Services</t>
  </si>
  <si>
    <t>Shop Insurance A/c</t>
  </si>
  <si>
    <t>SHOP EXPENCESS</t>
  </si>
  <si>
    <t>Salary  A/c</t>
  </si>
  <si>
    <t>Membership Fee</t>
  </si>
  <si>
    <t>G S T Arrears</t>
  </si>
  <si>
    <t>Electricity  Charges</t>
  </si>
  <si>
    <t>CORPORATION TAX</t>
  </si>
  <si>
    <t>Bank Chargers</t>
  </si>
  <si>
    <t>Round Off</t>
  </si>
  <si>
    <t>Fright Charges</t>
  </si>
  <si>
    <t>Cooli</t>
  </si>
  <si>
    <t>Direct Expenses</t>
  </si>
  <si>
    <t>I G S T Purchases Nil Rated</t>
  </si>
  <si>
    <t>I G S T Puchase @5%</t>
  </si>
  <si>
    <t>Gst Purchases  Nil Rated</t>
  </si>
  <si>
    <t>Gst Purchases @ 5%</t>
  </si>
  <si>
    <t>Gst Purchases @18%</t>
  </si>
  <si>
    <t>Discount</t>
  </si>
  <si>
    <t>I G S T Sales @ 5%</t>
  </si>
  <si>
    <t>IGST NIL RATED</t>
  </si>
  <si>
    <t>Gst Sales Nil Rated</t>
  </si>
  <si>
    <t>Gst Sales @ 5%</t>
  </si>
  <si>
    <t>Inventory Difference Account</t>
  </si>
  <si>
    <t>Union Bank of India</t>
  </si>
  <si>
    <t>Bank of Baroda</t>
  </si>
  <si>
    <t>Loans &amp; Advances (Asset)</t>
  </si>
  <si>
    <t>Tax Saving Fixed Deposite Account</t>
  </si>
  <si>
    <t>R.M.C.Bank Gurantee A/c</t>
  </si>
  <si>
    <t>Mysore Silk Cloth Merchant Co Op .,</t>
  </si>
  <si>
    <t>Membership</t>
  </si>
  <si>
    <t>Deposits (Asset)</t>
  </si>
  <si>
    <t>N.S.C</t>
  </si>
  <si>
    <t>NAMASTE CO-OPERATIVE BANK (SHARES)</t>
  </si>
  <si>
    <t>G.M.C.Bank Shares A/C</t>
  </si>
  <si>
    <t>Weighing Scale A/C</t>
  </si>
  <si>
    <t>Shop Building</t>
  </si>
  <si>
    <t>Scooter</t>
  </si>
  <si>
    <t>Sanghavi Opera Flat (50% Share)</t>
  </si>
  <si>
    <t>Furnitures &amp; Fixtures</t>
  </si>
  <si>
    <t>Computer  A/C</t>
  </si>
  <si>
    <t>Car Accunnt</t>
  </si>
  <si>
    <t>R.M.C .60%</t>
  </si>
  <si>
    <t>G S T</t>
  </si>
  <si>
    <t>T.L.Venkatesh (H.U.F )</t>
  </si>
  <si>
    <t>T L Venkatesh</t>
  </si>
  <si>
    <t>Interest on FD</t>
  </si>
  <si>
    <t>GODS A/C</t>
  </si>
  <si>
    <t>Capital Gain on Sale on Gold Bond</t>
  </si>
  <si>
    <t>venus agencies 2025-26</t>
  </si>
  <si>
    <t>G.S.Tin No.29ABGPV9302D1ZH</t>
  </si>
  <si>
    <t>BANGALORE-560022</t>
  </si>
  <si>
    <t>APMC YARD YPR</t>
  </si>
  <si>
    <t>14/30 M.G.B.COMPLEX</t>
  </si>
  <si>
    <t>Add: Direct Expenses</t>
  </si>
  <si>
    <t>Salary  Paid</t>
  </si>
  <si>
    <t>Shop Expenses</t>
  </si>
  <si>
    <t xml:space="preserve">Bank Charges </t>
  </si>
  <si>
    <t>NOTE 1 – OWNERS' CAPITAL ACCOUNT</t>
  </si>
  <si>
    <t>As per last Balance Sheet</t>
  </si>
  <si>
    <t>Add:</t>
  </si>
  <si>
    <t>Profit for the year</t>
  </si>
  <si>
    <t>Total Additions</t>
  </si>
  <si>
    <t>Less:</t>
  </si>
  <si>
    <t>Drawings</t>
  </si>
  <si>
    <t>Profit on sale of Sovereign Gold Bond</t>
  </si>
  <si>
    <t>LIC income received</t>
  </si>
  <si>
    <t>Health Insurance paid</t>
  </si>
  <si>
    <t>LIC premium paid</t>
  </si>
  <si>
    <t>Total Deductions</t>
  </si>
  <si>
    <t>TOTAL - Owners' Capital Account</t>
  </si>
  <si>
    <t>SB Interest</t>
  </si>
  <si>
    <t>GST Payable</t>
  </si>
  <si>
    <t>Opening Balance</t>
  </si>
  <si>
    <t>Addition upto 3-10-2025</t>
  </si>
  <si>
    <t>Addition after 4-10-2025</t>
  </si>
  <si>
    <t>Rate</t>
  </si>
  <si>
    <t>Furniture and Fixtures</t>
  </si>
  <si>
    <t>Sanghavi Opera Flat(50% share)</t>
  </si>
  <si>
    <t>Weighing Scale</t>
  </si>
  <si>
    <t>NOTE 5 – PROPERTY, PLANT &amp; EQUIPMENT</t>
  </si>
  <si>
    <t xml:space="preserve">Car </t>
  </si>
  <si>
    <t xml:space="preserve">Computer </t>
  </si>
  <si>
    <t>For Venus Agencies</t>
  </si>
  <si>
    <t xml:space="preserve">Property, Plant &amp; Equipment </t>
  </si>
  <si>
    <t>NOTE 6 - INVESTMENTS</t>
  </si>
  <si>
    <t>NOTE 7 – INVENTORY</t>
  </si>
  <si>
    <t>NOTE 8 – TRADE RECEIVABLES</t>
  </si>
  <si>
    <t>NOTE 9 – CASH &amp; BANK BALANCES</t>
  </si>
  <si>
    <t xml:space="preserve">GMC Bank Shares </t>
  </si>
  <si>
    <t>Namasthe Co-Operative bank</t>
  </si>
  <si>
    <t>Total Investments</t>
  </si>
  <si>
    <t>Mysore Silk Cloth Merchant Co op</t>
  </si>
  <si>
    <t>NOTE 12 – OTHER CURRENT ASSETS</t>
  </si>
  <si>
    <t xml:space="preserve">NOTE 10 – DEPOSITS </t>
  </si>
  <si>
    <t>Total Deposits</t>
  </si>
  <si>
    <t>NOTE 11 - LOANS &amp; ADVANCES</t>
  </si>
  <si>
    <t>RMC Receivable</t>
  </si>
  <si>
    <t xml:space="preserve">Deposits </t>
  </si>
  <si>
    <t>NOTE 13 – REVENUE FROM OPERATIONS</t>
  </si>
  <si>
    <t>NOTE 15 – OTHER INCOME</t>
  </si>
  <si>
    <t>NOTE 14 – TRADING / COST OF GOODS SOLD</t>
  </si>
  <si>
    <t>NOTE 16 – OPERATING &amp; OTHER EXPENSES</t>
  </si>
  <si>
    <t>NOTE 17 – FINANCE COSTS</t>
  </si>
  <si>
    <t>Closing Stock</t>
  </si>
  <si>
    <t>Profit / (Loss) For The Period</t>
  </si>
  <si>
    <t>Owners' Funds</t>
  </si>
  <si>
    <t xml:space="preserve"> Secured Borrowings</t>
  </si>
  <si>
    <t xml:space="preserve"> Unsecured Borrowings</t>
  </si>
  <si>
    <t xml:space="preserve"> </t>
  </si>
  <si>
    <t>Insurance Paid</t>
  </si>
  <si>
    <t>Brokerage Charges</t>
  </si>
  <si>
    <t>Gold Bond</t>
  </si>
  <si>
    <t>GST receivable</t>
  </si>
  <si>
    <t>Total OTHER CURRENT ASSETS</t>
  </si>
  <si>
    <t>Add: Purchases</t>
  </si>
  <si>
    <t>Interest on FD and NSC</t>
  </si>
  <si>
    <t xml:space="preserve">Staff Advance </t>
  </si>
  <si>
    <t>a.</t>
  </si>
  <si>
    <t>BASIS OF PREPARATION OF FINANCIAL STATEMENTS</t>
  </si>
  <si>
    <t>The Financial Statements are prepared on accrual basis under the historical cost convention (except where impairment is made and revaluation is carried out) on the basis of going concern and is in accordance with Accounting Standards issued by the Institute of Chartered Accountants of India.</t>
  </si>
  <si>
    <t>b.</t>
  </si>
  <si>
    <t>USE OF ESTIMATES</t>
  </si>
  <si>
    <t>In preparing the Financial Statements in conformity with accounting principles generally accepted in India, the Assessee is required to make estimates and assumptions that affect the reported amounts of assets and liabilities and the disclosure of contingent liabilities as at the date of the Financial Statements and the amounts of revenue and expenses during the reported period. Actual results could differ from those estimates. Any revision to such estimates is recognised in the period the same is determined.</t>
  </si>
  <si>
    <t>c.</t>
  </si>
  <si>
    <t>PROPERTY, PLANT &amp; EQUIPMENT</t>
  </si>
  <si>
    <t>The cost of Tangible Property, Plant &amp; Equipment is recognised as Property, Plant and Equipment if it is probable that the future economic benefit associated with the item will flow to the entity and the cost can be reliably measured. Property, Plant &amp; Equipment are stated at cost of acquisition or construction and, in case of revaluation of assets, at revalued amounts net of impairment loss if any, less depreciation. Cost represents direct expenses incurred on acquisition or construction of the assets and the share of indirect expenses relating to construction allocated in proportion to the direct cost involved. Such costs shall be added by any subsequent costs incurred to replace a part or service it, if it increases the economic life of the asset and such costs are reliably measurable. Any subsequent cost that does not meet the above recognition criteria is charged to the statement of profit and loss.</t>
  </si>
  <si>
    <t>d.</t>
  </si>
  <si>
    <t>DEPRECIATION</t>
  </si>
  <si>
    <t>Depreciation on assets is provided at the rates as specified by the Income Tax Act, 1961, however it is computed on each asset component separately and not as block of assets.</t>
  </si>
  <si>
    <t>e.</t>
  </si>
  <si>
    <t>INVESTMENTS</t>
  </si>
  <si>
    <t>Investments held by the Assessee which are long term in nature are stated at cost unless there is any permanent diminution in value where provision for diminution is made on individual investment basis. Current investments are valued at cost or market price or fair value, whichever is lower. Earnings on investments are accounted for on accrual basis.</t>
  </si>
  <si>
    <t>f.</t>
  </si>
  <si>
    <t>INVENTORIES</t>
  </si>
  <si>
    <t>Inventory of Raw Materials valued at cost or net realisable value, whichever is lower. Cost of raw material includes all charges in bringing the goods to the premises including transportation and other incidental charges.</t>
  </si>
  <si>
    <t>g.</t>
  </si>
  <si>
    <t>BORROWING COSTS</t>
  </si>
  <si>
    <t>Borrowing cost includes interest and amortization of ancillary costs incurred in connection with the arrangement of borrowings. Borrowing costs directly attributable to the acquisition, construction or production of an asset that necessarily takes a substantial period of time to get ready for its intended use or sale are capitalized as part of the cost of the respective asset. All other borrowing costs are expensed in the period they occur.</t>
  </si>
  <si>
    <t>h.</t>
  </si>
  <si>
    <t>PROVISIONS, CONTINGENT LIABILITIES AND CONTINGENT ASSETS</t>
  </si>
  <si>
    <t>Provisions are recognised when there is a present legal or statutory obligation as a result of past events and where it is probable that there will be outflow of resources to settle the obligation and when a reliable estimate of the amount of the obligation can be made. Contingent Liabilities are recognised only when there is a possible obligation arising from past events due to occurrence or non-occurrence of one or more uncertain future events not wholly within the control of the entity or where any present obligation cannot be measured in terms of future outflow of resources or where a reliable estimate of the obligation cannot be made. Obligations are assessed on an ongoing basis and only those having a largely probable outflow of resources are provided for. Contingent Assets are not recognised in the Financial Statements.</t>
  </si>
  <si>
    <t xml:space="preserve">  SIGNIFICANT ACCOUNTING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</si>
</sst>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quot;$&quot;#,##0_);\(&quot;$&quot;#,##0\)"/>
    <numFmt numFmtId="165" formatCode="_(* #,##0.00_);_(* \(#,##0.00\);_(* &quot;-&quot;??_);_(@_)"/>
    <numFmt numFmtId="166" formatCode="#,##0.00;[Red]\(#,##0.00\);\-"/>
    <numFmt numFmtId="167" formatCode="_ * #,##0_ ;_ * \-#,##0_ ;_ * &quot;-&quot;??_ ;_ @_ "/>
    <numFmt numFmtId="168" formatCode="#,##0;[Red]\(#,##0\);\-"/>
    <numFmt numFmtId="169" formatCode="_(* #,##0_);_(* \(#,##0\);_(* &quot;-&quot;??_);_(@_)"/>
    <numFmt numFmtId="170" formatCode="_-* #,##0.00_-;\-* #,##0.00_-;_-* &quot;-&quot;??_-;_-@_-"/>
    <numFmt numFmtId="171" formatCode="&quot;$&quot;\ #,##0;\-&quot;$&quot;\ #,##0"/>
    <numFmt numFmtId="172" formatCode="&quot;&quot;0.00"/>
    <numFmt numFmtId="173" formatCode="&quot;&quot;0"/>
  </numFmts>
  <fonts count="42">
    <font>
      <sz val="11"/>
      <name val="Carlito"/>
    </font>
    <font>
      <sz val="11"/>
      <color theme="1"/>
      <name val="Calibri"/>
      <family val="2"/>
      <scheme val="minor"/>
    </font>
    <font>
      <sz val="11"/>
      <name val="Carlito"/>
    </font>
    <font>
      <sz val="11"/>
      <name val="Times New Roman"/>
      <family val="1"/>
    </font>
    <font>
      <b/>
      <sz val="11"/>
      <name val="Times New Roman"/>
      <family val="1"/>
    </font>
    <font>
      <b/>
      <sz val="14"/>
      <name val="Times New Roman"/>
      <family val="1"/>
    </font>
    <font>
      <b/>
      <u/>
      <sz val="14"/>
      <name val="Times New Roman"/>
      <family val="1"/>
    </font>
    <font>
      <b/>
      <u/>
      <sz val="11"/>
      <name val="Times New Roman"/>
      <family val="1"/>
    </font>
    <font>
      <sz val="11"/>
      <color indexed="8"/>
      <name val="Calibri"/>
      <family val="2"/>
    </font>
    <font>
      <sz val="11"/>
      <name val="Book Antiqua"/>
      <family val="1"/>
    </font>
    <font>
      <b/>
      <sz val="11"/>
      <name val="Book Antiqua"/>
      <family val="1"/>
    </font>
    <font>
      <sz val="10"/>
      <color theme="1"/>
      <name val="Arial"/>
      <family val="2"/>
    </font>
    <font>
      <b/>
      <sz val="12"/>
      <color theme="1"/>
      <name val="Arial"/>
      <family val="2"/>
    </font>
    <font>
      <sz val="9"/>
      <color theme="1"/>
      <name val="Arial"/>
      <family val="2"/>
    </font>
    <font>
      <b/>
      <sz val="9"/>
      <color theme="1"/>
      <name val="Arial"/>
      <family val="2"/>
    </font>
    <font>
      <i/>
      <sz val="9"/>
      <color theme="1"/>
      <name val="Arial"/>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charset val="204"/>
    </font>
    <font>
      <b/>
      <sz val="12"/>
      <name val="Book Antiqua"/>
      <family val="1"/>
    </font>
    <font>
      <sz val="12"/>
      <name val="Times New Roman"/>
      <family val="1"/>
    </font>
    <font>
      <b/>
      <sz val="12"/>
      <name val="Times New Roman"/>
      <family val="1"/>
    </font>
    <font>
      <sz val="10"/>
      <name val="Bookman Old Style"/>
      <family val="1"/>
    </font>
    <font>
      <b/>
      <sz val="12"/>
      <color rgb="FF000000"/>
      <name val="Arial"/>
      <family val="2"/>
    </font>
    <font>
      <b/>
      <sz val="11"/>
      <color rgb="FF000000"/>
      <name val="Arial"/>
      <family val="2"/>
    </font>
    <font>
      <b/>
      <sz val="10"/>
      <color rgb="FF000000"/>
      <name val="Arial"/>
      <family val="2"/>
    </font>
    <font>
      <sz val="9"/>
      <color rgb="FF000000"/>
      <name val="Arial"/>
      <family val="2"/>
    </font>
  </fonts>
  <fills count="25">
    <fill>
      <patternFill patternType="none"/>
    </fill>
    <fill>
      <patternFill patternType="gray125"/>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s>
  <borders count="2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107">
    <xf numFmtId="0" fontId="0" fillId="0" borderId="0"/>
    <xf numFmtId="43" fontId="2" fillId="0" borderId="0" applyFont="0" applyFill="0" applyBorder="0" applyAlignment="0" applyProtection="0"/>
    <xf numFmtId="0" fontId="1" fillId="0" borderId="1"/>
    <xf numFmtId="165" fontId="1" fillId="0" borderId="1" applyFont="0" applyFill="0" applyBorder="0" applyAlignment="0" applyProtection="0"/>
    <xf numFmtId="43" fontId="1" fillId="0" borderId="1" applyFont="0" applyFill="0" applyBorder="0" applyAlignment="0" applyProtection="0"/>
    <xf numFmtId="165" fontId="16" fillId="0" borderId="1" applyFont="0" applyFill="0" applyBorder="0" applyAlignment="0" applyProtection="0"/>
    <xf numFmtId="0" fontId="8" fillId="0" borderId="1" applyFont="0" applyFill="0" applyBorder="0" applyAlignment="0" applyProtection="0"/>
    <xf numFmtId="165" fontId="8" fillId="0" borderId="1" applyFont="0" applyFill="0" applyBorder="0" applyAlignment="0" applyProtection="0"/>
    <xf numFmtId="0" fontId="16" fillId="0" borderId="1"/>
    <xf numFmtId="0" fontId="8" fillId="3" borderId="1" applyNumberFormat="0" applyBorder="0" applyAlignment="0" applyProtection="0"/>
    <xf numFmtId="0" fontId="8" fillId="4" borderId="1" applyNumberFormat="0" applyBorder="0" applyAlignment="0" applyProtection="0"/>
    <xf numFmtId="0" fontId="8" fillId="5" borderId="1" applyNumberFormat="0" applyBorder="0" applyAlignment="0" applyProtection="0"/>
    <xf numFmtId="0" fontId="8" fillId="6" borderId="1" applyNumberFormat="0" applyBorder="0" applyAlignment="0" applyProtection="0"/>
    <xf numFmtId="0" fontId="8" fillId="7" borderId="1" applyNumberFormat="0" applyBorder="0" applyAlignment="0" applyProtection="0"/>
    <xf numFmtId="0" fontId="8" fillId="8" borderId="1" applyNumberFormat="0" applyBorder="0" applyAlignment="0" applyProtection="0"/>
    <xf numFmtId="0" fontId="8" fillId="9" borderId="1" applyNumberFormat="0" applyBorder="0" applyAlignment="0" applyProtection="0"/>
    <xf numFmtId="0" fontId="8" fillId="10" borderId="1" applyNumberFormat="0" applyBorder="0" applyAlignment="0" applyProtection="0"/>
    <xf numFmtId="0" fontId="8" fillId="11" borderId="1" applyNumberFormat="0" applyBorder="0" applyAlignment="0" applyProtection="0"/>
    <xf numFmtId="0" fontId="8" fillId="6" borderId="1" applyNumberFormat="0" applyBorder="0" applyAlignment="0" applyProtection="0"/>
    <xf numFmtId="0" fontId="8" fillId="9" borderId="1" applyNumberFormat="0" applyBorder="0" applyAlignment="0" applyProtection="0"/>
    <xf numFmtId="0" fontId="8" fillId="12" borderId="1" applyNumberFormat="0" applyBorder="0" applyAlignment="0" applyProtection="0"/>
    <xf numFmtId="0" fontId="17" fillId="13" borderId="1" applyNumberFormat="0" applyBorder="0" applyAlignment="0" applyProtection="0"/>
    <xf numFmtId="0" fontId="17" fillId="10" borderId="1" applyNumberFormat="0" applyBorder="0" applyAlignment="0" applyProtection="0"/>
    <xf numFmtId="0" fontId="17" fillId="11" borderId="1" applyNumberFormat="0" applyBorder="0" applyAlignment="0" applyProtection="0"/>
    <xf numFmtId="0" fontId="17" fillId="14" borderId="1" applyNumberFormat="0" applyBorder="0" applyAlignment="0" applyProtection="0"/>
    <xf numFmtId="0" fontId="17" fillId="15" borderId="1" applyNumberFormat="0" applyBorder="0" applyAlignment="0" applyProtection="0"/>
    <xf numFmtId="0" fontId="17" fillId="16" borderId="1" applyNumberFormat="0" applyBorder="0" applyAlignment="0" applyProtection="0"/>
    <xf numFmtId="0" fontId="17" fillId="17" borderId="1" applyNumberFormat="0" applyBorder="0" applyAlignment="0" applyProtection="0"/>
    <xf numFmtId="0" fontId="17" fillId="18" borderId="1" applyNumberFormat="0" applyBorder="0" applyAlignment="0" applyProtection="0"/>
    <xf numFmtId="0" fontId="17" fillId="19" borderId="1" applyNumberFormat="0" applyBorder="0" applyAlignment="0" applyProtection="0"/>
    <xf numFmtId="0" fontId="17" fillId="14" borderId="1" applyNumberFormat="0" applyBorder="0" applyAlignment="0" applyProtection="0"/>
    <xf numFmtId="0" fontId="17" fillId="15" borderId="1" applyNumberFormat="0" applyBorder="0" applyAlignment="0" applyProtection="0"/>
    <xf numFmtId="0" fontId="17" fillId="20" borderId="1" applyNumberFormat="0" applyBorder="0" applyAlignment="0" applyProtection="0"/>
    <xf numFmtId="0" fontId="18" fillId="4" borderId="1" applyNumberFormat="0" applyBorder="0" applyAlignment="0" applyProtection="0"/>
    <xf numFmtId="0" fontId="19" fillId="21" borderId="7" applyNumberFormat="0" applyAlignment="0" applyProtection="0"/>
    <xf numFmtId="0" fontId="20" fillId="22" borderId="8" applyNumberFormat="0" applyAlignment="0" applyProtection="0"/>
    <xf numFmtId="170" fontId="16" fillId="0" borderId="1" applyFill="0" applyBorder="0" applyAlignment="0" applyProtection="0"/>
    <xf numFmtId="170" fontId="16" fillId="0" borderId="1" applyFill="0" applyBorder="0" applyAlignment="0" applyProtection="0"/>
    <xf numFmtId="170" fontId="16" fillId="0" borderId="1" applyFill="0" applyBorder="0" applyAlignment="0" applyProtection="0"/>
    <xf numFmtId="165" fontId="16" fillId="0" borderId="1" applyFont="0" applyFill="0" applyBorder="0" applyAlignment="0" applyProtection="0"/>
    <xf numFmtId="165" fontId="16" fillId="0" borderId="1" applyFont="0" applyFill="0" applyBorder="0" applyAlignment="0" applyProtection="0"/>
    <xf numFmtId="165" fontId="16" fillId="0" borderId="1" applyFont="0" applyFill="0" applyBorder="0" applyAlignment="0" applyProtection="0"/>
    <xf numFmtId="165" fontId="16" fillId="0" borderId="1" applyFont="0" applyFill="0" applyBorder="0" applyAlignment="0" applyProtection="0"/>
    <xf numFmtId="165" fontId="16" fillId="0" borderId="1" applyFont="0" applyFill="0" applyBorder="0" applyAlignment="0" applyProtection="0"/>
    <xf numFmtId="171" fontId="16" fillId="0" borderId="1" applyFont="0" applyFill="0" applyBorder="0" applyAlignment="0" applyProtection="0"/>
    <xf numFmtId="171" fontId="16" fillId="0" borderId="1" applyFont="0" applyFill="0" applyBorder="0" applyAlignment="0" applyProtection="0"/>
    <xf numFmtId="164" fontId="16" fillId="0" borderId="1" applyFont="0" applyFill="0" applyBorder="0" applyAlignment="0" applyProtection="0"/>
    <xf numFmtId="165" fontId="16" fillId="0" borderId="1" applyFont="0" applyFill="0" applyBorder="0" applyAlignment="0" applyProtection="0"/>
    <xf numFmtId="0" fontId="21" fillId="0" borderId="1" applyNumberFormat="0" applyFill="0" applyBorder="0" applyAlignment="0" applyProtection="0"/>
    <xf numFmtId="0" fontId="22" fillId="5" borderId="1" applyNumberFormat="0" applyBorder="0" applyAlignment="0" applyProtection="0"/>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1" applyNumberFormat="0" applyFill="0" applyBorder="0" applyAlignment="0" applyProtection="0"/>
    <xf numFmtId="0" fontId="26" fillId="8" borderId="7" applyNumberFormat="0" applyAlignment="0" applyProtection="0"/>
    <xf numFmtId="0" fontId="27" fillId="0" borderId="12" applyNumberFormat="0" applyFill="0" applyAlignment="0" applyProtection="0"/>
    <xf numFmtId="0" fontId="28" fillId="23" borderId="1" applyNumberFormat="0" applyBorder="0" applyAlignment="0" applyProtection="0"/>
    <xf numFmtId="0" fontId="8" fillId="0" borderId="1"/>
    <xf numFmtId="0" fontId="16" fillId="0" borderId="1"/>
    <xf numFmtId="0" fontId="16" fillId="0" borderId="1"/>
    <xf numFmtId="0" fontId="16" fillId="0" borderId="1"/>
    <xf numFmtId="0" fontId="16" fillId="0" borderId="1"/>
    <xf numFmtId="0" fontId="16" fillId="0" borderId="1"/>
    <xf numFmtId="0" fontId="16" fillId="0" borderId="1"/>
    <xf numFmtId="0" fontId="16" fillId="24" borderId="13" applyNumberFormat="0" applyAlignment="0" applyProtection="0"/>
    <xf numFmtId="0" fontId="29" fillId="21" borderId="14" applyNumberFormat="0" applyAlignment="0" applyProtection="0"/>
    <xf numFmtId="9" fontId="16" fillId="0" borderId="1" applyFont="0" applyFill="0" applyBorder="0" applyAlignment="0" applyProtection="0"/>
    <xf numFmtId="0" fontId="33" fillId="0" borderId="1"/>
    <xf numFmtId="0" fontId="30" fillId="0" borderId="1" applyNumberFormat="0" applyFill="0" applyBorder="0" applyAlignment="0" applyProtection="0"/>
    <xf numFmtId="0" fontId="31" fillId="0" borderId="15" applyNumberFormat="0" applyFill="0" applyAlignment="0" applyProtection="0"/>
    <xf numFmtId="0" fontId="32" fillId="0" borderId="1" applyNumberFormat="0" applyFill="0" applyBorder="0" applyAlignment="0" applyProtection="0"/>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6" fillId="0" borderId="1"/>
    <xf numFmtId="0" fontId="1" fillId="0" borderId="1"/>
    <xf numFmtId="0" fontId="16" fillId="0" borderId="1"/>
    <xf numFmtId="0" fontId="16" fillId="0" borderId="1"/>
    <xf numFmtId="0" fontId="16" fillId="0" borderId="1"/>
    <xf numFmtId="0" fontId="1" fillId="0" borderId="1"/>
    <xf numFmtId="165" fontId="8" fillId="0" borderId="1" applyFont="0" applyFill="0" applyBorder="0" applyAlignment="0" applyProtection="0"/>
    <xf numFmtId="9" fontId="16" fillId="0" borderId="1" applyFont="0" applyFill="0" applyBorder="0" applyAlignment="0" applyProtection="0"/>
    <xf numFmtId="9" fontId="16" fillId="0" borderId="1" applyFont="0" applyFill="0" applyBorder="0" applyAlignment="0" applyProtection="0"/>
    <xf numFmtId="0" fontId="16" fillId="0" borderId="1"/>
    <xf numFmtId="0" fontId="1" fillId="0" borderId="1"/>
    <xf numFmtId="0" fontId="1" fillId="0" borderId="1"/>
    <xf numFmtId="0" fontId="1" fillId="0" borderId="1"/>
    <xf numFmtId="165" fontId="16" fillId="0" borderId="1" applyFont="0" applyFill="0" applyBorder="0" applyAlignment="0" applyProtection="0"/>
    <xf numFmtId="0" fontId="1" fillId="0" borderId="1"/>
    <xf numFmtId="0" fontId="16" fillId="0" borderId="1"/>
    <xf numFmtId="0" fontId="1" fillId="0" borderId="1"/>
    <xf numFmtId="0" fontId="1" fillId="0" borderId="1"/>
    <xf numFmtId="0" fontId="1" fillId="0" borderId="1"/>
    <xf numFmtId="0" fontId="1" fillId="0" borderId="1"/>
    <xf numFmtId="43" fontId="1" fillId="0" borderId="1" applyFont="0" applyFill="0" applyBorder="0" applyAlignment="0" applyProtection="0"/>
    <xf numFmtId="0" fontId="1" fillId="0" borderId="1"/>
    <xf numFmtId="0" fontId="1" fillId="0" borderId="1"/>
    <xf numFmtId="0" fontId="1" fillId="0" borderId="1"/>
    <xf numFmtId="165" fontId="16" fillId="0" borderId="1" applyFont="0" applyFill="0" applyBorder="0" applyAlignment="0" applyProtection="0"/>
    <xf numFmtId="165" fontId="16" fillId="0" borderId="1" applyFont="0" applyFill="0" applyBorder="0" applyAlignment="0" applyProtection="0"/>
    <xf numFmtId="0" fontId="16" fillId="0" borderId="1"/>
    <xf numFmtId="165" fontId="1" fillId="0" borderId="1" applyFont="0" applyFill="0" applyBorder="0" applyAlignment="0" applyProtection="0"/>
  </cellStyleXfs>
  <cellXfs count="96">
    <xf numFmtId="0" fontId="0" fillId="0" borderId="0" xfId="0"/>
    <xf numFmtId="0" fontId="3" fillId="0" borderId="0" xfId="0" applyFont="1"/>
    <xf numFmtId="0" fontId="4" fillId="0" borderId="2" xfId="0" applyFont="1" applyBorder="1" applyAlignment="1">
      <alignment horizontal="center" vertical="center" wrapText="1"/>
    </xf>
    <xf numFmtId="0" fontId="5" fillId="0" borderId="0" xfId="0" applyFont="1" applyAlignment="1">
      <alignment horizontal="center" vertical="center"/>
    </xf>
    <xf numFmtId="168" fontId="3" fillId="0" borderId="0" xfId="0" applyNumberFormat="1" applyFont="1"/>
    <xf numFmtId="167" fontId="4" fillId="0" borderId="2" xfId="1" applyNumberFormat="1" applyFont="1" applyBorder="1" applyAlignment="1">
      <alignment horizontal="center" vertical="center" wrapText="1"/>
    </xf>
    <xf numFmtId="167" fontId="3" fillId="0" borderId="0" xfId="1" applyNumberFormat="1" applyFont="1"/>
    <xf numFmtId="0" fontId="3" fillId="0" borderId="0" xfId="0" applyFont="1" applyAlignment="1">
      <alignment vertical="center"/>
    </xf>
    <xf numFmtId="0" fontId="3" fillId="0" borderId="2" xfId="0" applyFont="1" applyBorder="1" applyAlignment="1">
      <alignment vertical="center" wrapText="1"/>
    </xf>
    <xf numFmtId="0" fontId="4" fillId="0" borderId="2" xfId="0" applyFont="1" applyBorder="1" applyAlignment="1">
      <alignment vertical="center" wrapText="1"/>
    </xf>
    <xf numFmtId="0" fontId="3" fillId="0" borderId="2" xfId="1" applyNumberFormat="1" applyFont="1" applyFill="1" applyBorder="1" applyAlignment="1">
      <alignment vertical="center" wrapText="1"/>
    </xf>
    <xf numFmtId="168" fontId="3" fillId="0" borderId="2" xfId="0" applyNumberFormat="1" applyFont="1" applyBorder="1" applyAlignment="1">
      <alignment vertical="center" wrapText="1"/>
    </xf>
    <xf numFmtId="167" fontId="4" fillId="0" borderId="2" xfId="1" applyNumberFormat="1" applyFont="1" applyFill="1" applyBorder="1" applyAlignment="1">
      <alignment vertical="center" wrapText="1"/>
    </xf>
    <xf numFmtId="168" fontId="4" fillId="0" borderId="2" xfId="0" applyNumberFormat="1" applyFont="1" applyBorder="1" applyAlignment="1">
      <alignment vertical="center" wrapText="1"/>
    </xf>
    <xf numFmtId="167" fontId="3" fillId="0" borderId="2" xfId="1" applyNumberFormat="1" applyFont="1" applyFill="1" applyBorder="1" applyAlignment="1">
      <alignment vertical="center" wrapText="1"/>
    </xf>
    <xf numFmtId="0" fontId="3" fillId="0" borderId="0" xfId="0" applyFont="1" applyAlignment="1">
      <alignment vertical="center" wrapText="1"/>
    </xf>
    <xf numFmtId="0" fontId="7" fillId="0" borderId="0" xfId="0" applyFont="1" applyAlignment="1">
      <alignment horizontal="center" vertical="center"/>
    </xf>
    <xf numFmtId="167" fontId="3" fillId="0" borderId="0" xfId="1" applyNumberFormat="1" applyFont="1" applyAlignment="1">
      <alignment vertical="center" wrapText="1"/>
    </xf>
    <xf numFmtId="167" fontId="3" fillId="0" borderId="2" xfId="1" applyNumberFormat="1" applyFont="1" applyBorder="1" applyAlignment="1">
      <alignment vertical="center" wrapText="1"/>
    </xf>
    <xf numFmtId="167" fontId="4" fillId="0" borderId="2" xfId="1" applyNumberFormat="1" applyFont="1" applyBorder="1" applyAlignment="1">
      <alignment vertical="center" wrapText="1"/>
    </xf>
    <xf numFmtId="167" fontId="4" fillId="0" borderId="1" xfId="1" applyNumberFormat="1" applyFont="1" applyBorder="1" applyAlignment="1">
      <alignment vertical="center" wrapText="1"/>
    </xf>
    <xf numFmtId="0" fontId="4" fillId="0" borderId="1" xfId="0" applyFont="1" applyBorder="1" applyAlignment="1">
      <alignment horizontal="center" vertical="center" wrapText="1"/>
    </xf>
    <xf numFmtId="168" fontId="3" fillId="0" borderId="1" xfId="0" applyNumberFormat="1" applyFont="1" applyBorder="1" applyAlignment="1">
      <alignment vertical="center" wrapText="1"/>
    </xf>
    <xf numFmtId="168" fontId="4" fillId="0" borderId="1" xfId="0" applyNumberFormat="1" applyFont="1" applyBorder="1" applyAlignment="1">
      <alignment vertical="center" wrapText="1"/>
    </xf>
    <xf numFmtId="0" fontId="3" fillId="0" borderId="5" xfId="0" applyFont="1" applyBorder="1"/>
    <xf numFmtId="0" fontId="3" fillId="0" borderId="1" xfId="0" applyFont="1" applyBorder="1"/>
    <xf numFmtId="167" fontId="3" fillId="0" borderId="1" xfId="1" applyNumberFormat="1" applyFont="1" applyBorder="1" applyAlignment="1">
      <alignment vertical="center" wrapText="1"/>
    </xf>
    <xf numFmtId="169" fontId="9" fillId="2" borderId="2" xfId="1" applyNumberFormat="1" applyFont="1" applyFill="1" applyBorder="1"/>
    <xf numFmtId="169" fontId="9" fillId="0" borderId="3" xfId="1" applyNumberFormat="1" applyFont="1" applyFill="1" applyBorder="1"/>
    <xf numFmtId="169" fontId="9" fillId="0" borderId="2" xfId="1" applyNumberFormat="1" applyFont="1" applyFill="1" applyBorder="1" applyAlignment="1">
      <alignment horizontal="left"/>
    </xf>
    <xf numFmtId="169" fontId="9" fillId="0" borderId="2" xfId="1" applyNumberFormat="1" applyFont="1" applyBorder="1"/>
    <xf numFmtId="169" fontId="9" fillId="0" borderId="2" xfId="1" applyNumberFormat="1" applyFont="1" applyFill="1" applyBorder="1"/>
    <xf numFmtId="0" fontId="3" fillId="0" borderId="1" xfId="0" applyFont="1" applyBorder="1" applyAlignment="1">
      <alignment vertical="center" wrapText="1"/>
    </xf>
    <xf numFmtId="169" fontId="9" fillId="0" borderId="1" xfId="1" applyNumberFormat="1" applyFont="1" applyFill="1" applyBorder="1"/>
    <xf numFmtId="169" fontId="10" fillId="0" borderId="2" xfId="1" applyNumberFormat="1" applyFont="1" applyFill="1" applyBorder="1"/>
    <xf numFmtId="1" fontId="3" fillId="0" borderId="0" xfId="0" applyNumberFormat="1" applyFont="1"/>
    <xf numFmtId="172" fontId="14" fillId="0" borderId="16" xfId="0" applyNumberFormat="1" applyFont="1" applyBorder="1" applyAlignment="1">
      <alignment horizontal="right" vertical="top"/>
    </xf>
    <xf numFmtId="49" fontId="14" fillId="0" borderId="16" xfId="0" applyNumberFormat="1" applyFont="1" applyBorder="1" applyAlignment="1">
      <alignment horizontal="left" vertical="top" indent="2"/>
    </xf>
    <xf numFmtId="172" fontId="13" fillId="0" borderId="0" xfId="0" applyNumberFormat="1" applyFont="1" applyAlignment="1">
      <alignment horizontal="right" vertical="top"/>
    </xf>
    <xf numFmtId="173" fontId="13" fillId="0" borderId="0" xfId="0" applyNumberFormat="1" applyFont="1" applyAlignment="1">
      <alignment horizontal="right" vertical="top"/>
    </xf>
    <xf numFmtId="49" fontId="13" fillId="0" borderId="0" xfId="0" applyNumberFormat="1" applyFont="1" applyAlignment="1">
      <alignment vertical="top"/>
    </xf>
    <xf numFmtId="173" fontId="15" fillId="0" borderId="0" xfId="0" applyNumberFormat="1" applyFont="1" applyAlignment="1">
      <alignment horizontal="right" vertical="top"/>
    </xf>
    <xf numFmtId="172" fontId="15" fillId="0" borderId="0" xfId="0" applyNumberFormat="1" applyFont="1" applyAlignment="1">
      <alignment horizontal="right" vertical="top"/>
    </xf>
    <xf numFmtId="49" fontId="15" fillId="0" borderId="0" xfId="0" applyNumberFormat="1" applyFont="1" applyAlignment="1">
      <alignment horizontal="left" vertical="top" indent="2"/>
    </xf>
    <xf numFmtId="173" fontId="14" fillId="0" borderId="4" xfId="0" applyNumberFormat="1" applyFont="1" applyBorder="1" applyAlignment="1">
      <alignment horizontal="right" vertical="top"/>
    </xf>
    <xf numFmtId="172" fontId="14" fillId="0" borderId="4" xfId="0" applyNumberFormat="1" applyFont="1" applyBorder="1" applyAlignment="1">
      <alignment horizontal="right" vertical="top"/>
    </xf>
    <xf numFmtId="49" fontId="14" fillId="0" borderId="0" xfId="0" applyNumberFormat="1" applyFont="1" applyAlignment="1">
      <alignment vertical="top"/>
    </xf>
    <xf numFmtId="173" fontId="14" fillId="0" borderId="0" xfId="0" applyNumberFormat="1" applyFont="1" applyAlignment="1">
      <alignment horizontal="right" vertical="top"/>
    </xf>
    <xf numFmtId="49" fontId="15" fillId="0" borderId="0" xfId="0" applyNumberFormat="1" applyFont="1" applyAlignment="1">
      <alignment horizontal="left" vertical="top" indent="1"/>
    </xf>
    <xf numFmtId="49" fontId="15" fillId="0" borderId="0" xfId="0" applyNumberFormat="1" applyFont="1" applyAlignment="1">
      <alignment horizontal="left" vertical="top" indent="3"/>
    </xf>
    <xf numFmtId="173" fontId="13" fillId="0" borderId="4" xfId="0" applyNumberFormat="1" applyFont="1" applyBorder="1" applyAlignment="1">
      <alignment horizontal="right" vertical="top"/>
    </xf>
    <xf numFmtId="172" fontId="13" fillId="0" borderId="4" xfId="0" applyNumberFormat="1" applyFont="1" applyBorder="1" applyAlignment="1">
      <alignment horizontal="right" vertical="top"/>
    </xf>
    <xf numFmtId="49" fontId="13" fillId="0" borderId="0" xfId="0" applyNumberFormat="1" applyFont="1" applyAlignment="1">
      <alignment horizontal="left" vertical="top" indent="2"/>
    </xf>
    <xf numFmtId="49" fontId="15" fillId="0" borderId="0" xfId="0" applyNumberFormat="1" applyFont="1" applyAlignment="1">
      <alignment horizontal="left" vertical="top" indent="4"/>
    </xf>
    <xf numFmtId="172" fontId="13" fillId="0" borderId="16" xfId="0" applyNumberFormat="1" applyFont="1" applyBorder="1" applyAlignment="1">
      <alignment horizontal="right" vertical="top"/>
    </xf>
    <xf numFmtId="49" fontId="13" fillId="0" borderId="2" xfId="0" applyNumberFormat="1" applyFont="1" applyBorder="1" applyAlignment="1">
      <alignment horizontal="center" vertical="top"/>
    </xf>
    <xf numFmtId="49" fontId="14" fillId="0" borderId="6" xfId="0" applyNumberFormat="1" applyFont="1" applyBorder="1" applyAlignment="1">
      <alignment horizontal="left" vertical="top" indent="2"/>
    </xf>
    <xf numFmtId="49" fontId="14" fillId="0" borderId="5" xfId="0" applyNumberFormat="1" applyFont="1" applyBorder="1" applyAlignment="1">
      <alignment horizontal="left" vertical="top" indent="2"/>
    </xf>
    <xf numFmtId="49" fontId="14" fillId="0" borderId="19" xfId="0" applyNumberFormat="1" applyFont="1" applyBorder="1" applyAlignment="1">
      <alignment horizontal="left" vertical="top" indent="2"/>
    </xf>
    <xf numFmtId="169" fontId="9" fillId="0" borderId="17" xfId="1" applyNumberFormat="1" applyFont="1" applyFill="1" applyBorder="1" applyAlignment="1">
      <alignment horizontal="center"/>
    </xf>
    <xf numFmtId="169" fontId="9" fillId="0" borderId="2" xfId="1" applyNumberFormat="1" applyFont="1" applyFill="1" applyBorder="1" applyAlignment="1">
      <alignment horizontal="center"/>
    </xf>
    <xf numFmtId="0" fontId="4" fillId="0" borderId="0" xfId="0" applyFont="1"/>
    <xf numFmtId="0" fontId="4" fillId="0" borderId="2" xfId="0" applyFont="1" applyBorder="1"/>
    <xf numFmtId="43" fontId="0" fillId="0" borderId="0" xfId="1" applyFont="1"/>
    <xf numFmtId="43" fontId="34" fillId="0" borderId="2" xfId="1" applyFont="1" applyBorder="1"/>
    <xf numFmtId="43" fontId="35" fillId="0" borderId="2" xfId="1" applyFont="1" applyBorder="1" applyAlignment="1">
      <alignment vertical="center" wrapText="1"/>
    </xf>
    <xf numFmtId="43" fontId="35" fillId="0" borderId="2" xfId="1" applyFont="1" applyBorder="1" applyAlignment="1">
      <alignment vertical="center"/>
    </xf>
    <xf numFmtId="43" fontId="36" fillId="0" borderId="2" xfId="1" applyFont="1" applyBorder="1" applyAlignment="1">
      <alignment vertical="center" wrapText="1"/>
    </xf>
    <xf numFmtId="172" fontId="14" fillId="0" borderId="0" xfId="0" applyNumberFormat="1" applyFont="1" applyAlignment="1">
      <alignment horizontal="right" vertical="top"/>
    </xf>
    <xf numFmtId="167" fontId="3" fillId="0" borderId="2" xfId="1" applyNumberFormat="1" applyFont="1" applyBorder="1" applyAlignment="1">
      <alignment horizontal="center" vertical="center" wrapText="1"/>
    </xf>
    <xf numFmtId="167" fontId="4" fillId="0" borderId="2" xfId="1" applyNumberFormat="1" applyFont="1" applyBorder="1" applyAlignment="1">
      <alignment horizontal="left" vertical="center" wrapText="1"/>
    </xf>
    <xf numFmtId="167" fontId="3" fillId="0" borderId="0" xfId="0" applyNumberFormat="1" applyFont="1"/>
    <xf numFmtId="169" fontId="37" fillId="2" borderId="20" xfId="43" applyNumberFormat="1" applyFont="1" applyFill="1" applyBorder="1"/>
    <xf numFmtId="0" fontId="4" fillId="0" borderId="0" xfId="0" applyFont="1" applyAlignment="1">
      <alignment vertical="center" wrapText="1"/>
    </xf>
    <xf numFmtId="0" fontId="6" fillId="0" borderId="0" xfId="0" applyFont="1" applyAlignment="1">
      <alignment horizontal="center" vertical="center"/>
    </xf>
    <xf numFmtId="0" fontId="6" fillId="0" borderId="0" xfId="0" quotePrefix="1" applyFont="1" applyAlignment="1">
      <alignment horizontal="center" vertical="center"/>
    </xf>
    <xf numFmtId="0" fontId="7" fillId="0" borderId="0" xfId="0" quotePrefix="1" applyFont="1" applyAlignment="1">
      <alignment horizontal="center" vertical="center"/>
    </xf>
    <xf numFmtId="0" fontId="7" fillId="0" borderId="0" xfId="0" applyFont="1" applyAlignment="1">
      <alignment horizontal="center" vertical="center"/>
    </xf>
    <xf numFmtId="166" fontId="4" fillId="0" borderId="0" xfId="0" applyNumberFormat="1" applyFont="1" applyAlignment="1">
      <alignment vertical="center" wrapText="1"/>
    </xf>
    <xf numFmtId="0" fontId="5" fillId="0" borderId="0" xfId="0" applyFont="1" applyAlignment="1">
      <alignment horizontal="center" vertical="center" wrapText="1"/>
    </xf>
    <xf numFmtId="0" fontId="4" fillId="0" borderId="1" xfId="0" applyFont="1" applyBorder="1" applyAlignment="1">
      <alignment vertical="center" wrapText="1"/>
    </xf>
    <xf numFmtId="0" fontId="4" fillId="0" borderId="4" xfId="0" applyFont="1" applyBorder="1" applyAlignment="1">
      <alignment vertical="center" wrapText="1"/>
    </xf>
    <xf numFmtId="49" fontId="11" fillId="0" borderId="0" xfId="0" applyNumberFormat="1" applyFont="1" applyAlignment="1">
      <alignment vertical="top"/>
    </xf>
    <xf numFmtId="49" fontId="14" fillId="0" borderId="18" xfId="0" applyNumberFormat="1" applyFont="1" applyBorder="1" applyAlignment="1">
      <alignment horizontal="center" vertical="top" wrapText="1"/>
    </xf>
    <xf numFmtId="49" fontId="14" fillId="0" borderId="19" xfId="0" applyNumberFormat="1" applyFont="1" applyBorder="1" applyAlignment="1">
      <alignment horizontal="center" vertical="top" wrapText="1"/>
    </xf>
    <xf numFmtId="49" fontId="13" fillId="0" borderId="5" xfId="0" applyNumberFormat="1" applyFont="1" applyBorder="1" applyAlignment="1">
      <alignment horizontal="center" vertical="top" wrapText="1"/>
    </xf>
    <xf numFmtId="49" fontId="13" fillId="0" borderId="1" xfId="0" applyNumberFormat="1" applyFont="1" applyBorder="1" applyAlignment="1">
      <alignment horizontal="center" vertical="top" wrapText="1"/>
    </xf>
    <xf numFmtId="49" fontId="14" fillId="0" borderId="18" xfId="0" applyNumberFormat="1" applyFont="1" applyBorder="1" applyAlignment="1">
      <alignment horizontal="center" vertical="top"/>
    </xf>
    <xf numFmtId="49" fontId="14" fillId="0" borderId="19" xfId="0" applyNumberFormat="1" applyFont="1" applyBorder="1" applyAlignment="1">
      <alignment horizontal="center" vertical="top"/>
    </xf>
    <xf numFmtId="49" fontId="12" fillId="0" borderId="0" xfId="0" applyNumberFormat="1" applyFont="1" applyAlignment="1">
      <alignment vertical="top"/>
    </xf>
    <xf numFmtId="49" fontId="11" fillId="0" borderId="4" xfId="0" applyNumberFormat="1" applyFont="1" applyBorder="1" applyAlignment="1">
      <alignment vertical="top"/>
    </xf>
    <xf numFmtId="49" fontId="12" fillId="0" borderId="19" xfId="0" applyNumberFormat="1" applyFont="1" applyBorder="1" applyAlignment="1">
      <alignment vertical="top"/>
    </xf>
    <xf numFmtId="0" fontId="38" fillId="0" borderId="0" xfId="0" applyFont="1"/>
    <xf numFmtId="0" fontId="39" fillId="0" borderId="0" xfId="0" applyFont="1"/>
    <xf numFmtId="0" fontId="40" fillId="0" borderId="0" xfId="0" applyFont="1"/>
    <xf numFmtId="0" fontId="41" fillId="0" borderId="0" xfId="0" applyFont="1" applyAlignment="1">
      <alignment vertical="top" wrapText="1"/>
    </xf>
  </cellXfs>
  <cellStyles count="107">
    <cellStyle name="20% - Accent1 2" xfId="9" xr:uid="{6F449251-0F57-4FE4-8E51-C5E12F9FEB39}"/>
    <cellStyle name="20% - Accent2 2" xfId="10" xr:uid="{5150D7B8-BE5B-4E9D-967F-F8F89CF28726}"/>
    <cellStyle name="20% - Accent3 2" xfId="11" xr:uid="{D6079947-4E2D-4E71-94D0-00780EED3ECC}"/>
    <cellStyle name="20% - Accent4 2" xfId="12" xr:uid="{CBA0458C-1964-4E22-8505-9AFD6C5B2505}"/>
    <cellStyle name="20% - Accent5 2" xfId="13" xr:uid="{FCDCA551-1EFE-465A-AC75-15A7D320BEF5}"/>
    <cellStyle name="20% - Accent6 2" xfId="14" xr:uid="{010A5DD0-825E-4921-AE22-C4F6342B7847}"/>
    <cellStyle name="40% - Accent1 2" xfId="15" xr:uid="{DDCC7F98-6F7C-40B4-A06C-BCFC4DE2564F}"/>
    <cellStyle name="40% - Accent2 2" xfId="16" xr:uid="{A8F7CD23-DC04-4BBD-A84F-CEBE0CC74BBE}"/>
    <cellStyle name="40% - Accent3 2" xfId="17" xr:uid="{82D89ED1-7FDE-4262-A099-624522FADF4A}"/>
    <cellStyle name="40% - Accent4 2" xfId="18" xr:uid="{98B01D09-0C6E-4848-906A-E0D83C23E5CF}"/>
    <cellStyle name="40% - Accent5 2" xfId="19" xr:uid="{97564FDB-1248-451D-A7E4-65818E5E0C3F}"/>
    <cellStyle name="40% - Accent6 2" xfId="20" xr:uid="{611F2BF9-A003-4752-A6DC-DB696B5C0C67}"/>
    <cellStyle name="60% - Accent1 2" xfId="21" xr:uid="{1FB70BC5-EF18-47B2-906D-1EAFCE2F8ACD}"/>
    <cellStyle name="60% - Accent2 2" xfId="22" xr:uid="{7061AC77-A9D2-472E-B4CE-BB174699660C}"/>
    <cellStyle name="60% - Accent3 2" xfId="23" xr:uid="{EF1D9634-DB79-4929-A9F3-A81F405D1EE9}"/>
    <cellStyle name="60% - Accent4 2" xfId="24" xr:uid="{530369E1-3BE5-4B5C-AE46-853E4FC02A1B}"/>
    <cellStyle name="60% - Accent5 2" xfId="25" xr:uid="{7E11E40B-0C6A-43F4-A785-F9F194DF85FD}"/>
    <cellStyle name="60% - Accent6 2" xfId="26" xr:uid="{F15189E7-ABE3-407F-81BE-06CF84B3C97C}"/>
    <cellStyle name="Accent1 2" xfId="27" xr:uid="{C046C0E7-019C-4AA2-9FCB-E15B00D56173}"/>
    <cellStyle name="Accent2 2" xfId="28" xr:uid="{B45E2A9B-9BE6-4581-BE12-58EE7FEB4E0E}"/>
    <cellStyle name="Accent3 2" xfId="29" xr:uid="{327E19A5-3524-4AD1-87AA-23E12E73725B}"/>
    <cellStyle name="Accent4 2" xfId="30" xr:uid="{48E3E37F-FBED-49EC-B838-2B3DC0F66E23}"/>
    <cellStyle name="Accent5 2" xfId="31" xr:uid="{3E835335-541B-4B63-B4B6-C434A2EE7C38}"/>
    <cellStyle name="Accent6 2" xfId="32" xr:uid="{48F53211-3911-49BC-9BB9-B11ABF7C9174}"/>
    <cellStyle name="Bad 2" xfId="33" xr:uid="{DCB71028-75FF-4ADE-867A-4EBBBEDDE7D7}"/>
    <cellStyle name="Calculation 2" xfId="34" xr:uid="{AB493683-50DF-4D65-8541-E62E042249E4}"/>
    <cellStyle name="Check Cell 2" xfId="35" xr:uid="{D37699B1-8A37-4CE0-AB8C-8B1BF367BBE5}"/>
    <cellStyle name="Comma" xfId="1" builtinId="3"/>
    <cellStyle name="Comma 10" xfId="106" xr:uid="{0566B4AD-6512-42E7-BDA1-B2A0AF30DA8E}"/>
    <cellStyle name="Comma 12 3" xfId="103" xr:uid="{F1317BE5-4F7A-4515-9386-C316713CF654}"/>
    <cellStyle name="Comma 2" xfId="37" xr:uid="{4FEC5281-C7C3-4DF3-B923-9D0743261860}"/>
    <cellStyle name="Comma 2 14" xfId="92" xr:uid="{5C9AFE25-2FFB-4DD1-B8AC-57AB8FE7C80A}"/>
    <cellStyle name="Comma 2 2" xfId="38" xr:uid="{B2937F00-0B29-4BFD-84A4-082A4224C92D}"/>
    <cellStyle name="Comma 2 2 2" xfId="39" xr:uid="{39A59108-90D9-45A8-AC35-F92EEDDAF1EF}"/>
    <cellStyle name="Comma 2 2 3" xfId="40" xr:uid="{F7679AD8-6F67-42DB-8857-84F56F71BFEC}"/>
    <cellStyle name="Comma 2 3" xfId="41" xr:uid="{EFE8C683-B6BF-4EF9-BF96-3864B31E7AEA}"/>
    <cellStyle name="Comma 2 71" xfId="104" xr:uid="{829E0264-5ECB-4F31-A01C-6558207F28AB}"/>
    <cellStyle name="Comma 2_AAR ESS BS 31.03.2011 Final" xfId="42" xr:uid="{53F7DCD9-FCF3-43C9-97A9-822BF6267F63}"/>
    <cellStyle name="Comma 3" xfId="43" xr:uid="{FF38E5D0-DF5C-4F78-90AB-E9EF6120DAAE}"/>
    <cellStyle name="Comma 3 2" xfId="44" xr:uid="{1E8D6091-9ED7-49B7-81CB-75923FC84BE6}"/>
    <cellStyle name="Comma 3 2 2" xfId="45" xr:uid="{119BCC37-BF33-4652-BC2B-FD36D62B46C5}"/>
    <cellStyle name="Comma 3_BALANCE SHEET10-11" xfId="46" xr:uid="{AB1FA36C-6B4D-4984-8927-C1472C3A6CEF}"/>
    <cellStyle name="Comma 31" xfId="6" xr:uid="{2621F38D-5C62-48CF-876E-78976C50E285}"/>
    <cellStyle name="Comma 33" xfId="7" xr:uid="{0785ACAB-D756-4B82-9C56-4E8BBC58F084}"/>
    <cellStyle name="Comma 4" xfId="47" xr:uid="{EC512B2E-94D4-4666-A928-8E11D620127C}"/>
    <cellStyle name="Comma 5" xfId="85" xr:uid="{A9624849-200E-4229-AB2A-5FDC2830DC83}"/>
    <cellStyle name="Comma 6" xfId="99" xr:uid="{7AF3A3B0-05A7-4881-ABF8-6074255F1BFC}"/>
    <cellStyle name="Comma 7" xfId="36" xr:uid="{5BFF7F62-109D-4D30-A230-9BAF9D97941B}"/>
    <cellStyle name="Comma 8" xfId="4" xr:uid="{08F3BD6D-F712-47D4-87AF-8D24EBD90037}"/>
    <cellStyle name="Comma 83" xfId="5" xr:uid="{90DBCBB3-5417-4D1D-BC17-5C19C1F48D14}"/>
    <cellStyle name="Comma 9" xfId="3" xr:uid="{11B8799E-23C3-48C8-A5A8-098CD2E9C14B}"/>
    <cellStyle name="Explanatory Text 2" xfId="48" xr:uid="{56D34B30-E63A-4ABC-A5E2-6A265FDD9849}"/>
    <cellStyle name="Good 2" xfId="49" xr:uid="{C8397909-2B32-4473-B3F4-D632F105FD43}"/>
    <cellStyle name="Heading 1 2" xfId="50" xr:uid="{DB85893D-107B-41DF-9C88-B0BEC525ED82}"/>
    <cellStyle name="Heading 2 2" xfId="51" xr:uid="{265FE762-5777-407B-A5D9-C989368237CE}"/>
    <cellStyle name="Heading 3 2" xfId="52" xr:uid="{B7E0E45B-E99E-4DF1-808C-7C034734E2EC}"/>
    <cellStyle name="Heading 4 2" xfId="53" xr:uid="{675B4A49-8D39-4825-8E1E-2B0619C73D5F}"/>
    <cellStyle name="Input 2" xfId="54" xr:uid="{F31DCC67-7BE2-4D9D-9B38-3D2BA304460A}"/>
    <cellStyle name="Linked Cell 2" xfId="55" xr:uid="{7327DDEE-59D0-43B5-BD01-F45A13E65E5D}"/>
    <cellStyle name="Neutral 2" xfId="56" xr:uid="{AAC119F1-0885-43C9-BF29-C2B12F0711FC}"/>
    <cellStyle name="Nor}al" xfId="88" xr:uid="{FFCAA6C4-74C0-4283-82ED-C56F099AED67}"/>
    <cellStyle name="Normal" xfId="0" builtinId="0"/>
    <cellStyle name="Normal 10" xfId="90" xr:uid="{F465658C-AF8A-4596-A2C2-1DCD6471FDC8}"/>
    <cellStyle name="Normal 10 2" xfId="96" xr:uid="{57EEA9CC-1FD1-4CF2-8227-035B5085DA13}"/>
    <cellStyle name="Normal 11" xfId="75" xr:uid="{278ECF77-F116-4DE6-9674-1C6B3301A5CB}"/>
    <cellStyle name="Normal 12" xfId="91" xr:uid="{8C30764F-672D-48DA-A684-2CB26BC20D56}"/>
    <cellStyle name="Normal 13" xfId="76" xr:uid="{1E1F60D8-6CAF-463C-87AE-EFBFF0E6F39B}"/>
    <cellStyle name="Normal 14" xfId="95" xr:uid="{DF7427F7-FB2F-4623-9F9C-0818A57C6DFD}"/>
    <cellStyle name="Normal 15" xfId="77" xr:uid="{619455DA-87A9-4CA9-923E-4FB36899487C}"/>
    <cellStyle name="Normal 16" xfId="98" xr:uid="{704296D2-D429-4341-B95F-D60CB7764FC0}"/>
    <cellStyle name="Normal 17" xfId="100" xr:uid="{0163835C-FFC6-4FB7-B055-B76ED381BFE5}"/>
    <cellStyle name="Normal 18" xfId="8" xr:uid="{14841596-0EC6-4E93-9BFA-DC46805661F3}"/>
    <cellStyle name="Normal 19" xfId="2" xr:uid="{9CC99E36-36B6-4205-803C-D6723AD4D7FF}"/>
    <cellStyle name="Normal 2" xfId="57" xr:uid="{66D6A6BB-290F-4637-AAF4-4B7FB7DB27E7}"/>
    <cellStyle name="Normal 2 2" xfId="58" xr:uid="{C6B5A1E5-70E4-4676-8DA8-41E87A392C71}"/>
    <cellStyle name="Normal 2 3" xfId="59" xr:uid="{D4252464-F36E-48E0-AFB7-2F02F7420972}"/>
    <cellStyle name="Normal 2 4" xfId="83" xr:uid="{D7F2C511-32F3-4F81-9D32-43D393612BE9}"/>
    <cellStyle name="Normal 21" xfId="78" xr:uid="{9E8DB6A0-70CB-4FD2-8C45-CFDF0EF4D34F}"/>
    <cellStyle name="Normal 3" xfId="60" xr:uid="{E6125C09-0AA6-4027-8470-C070578FE6E6}"/>
    <cellStyle name="Normal 3 2" xfId="71" xr:uid="{29AC8DE3-08C9-48D6-86AA-251F69A92738}"/>
    <cellStyle name="Normal 3 3" xfId="82" xr:uid="{759DE47B-844B-4DF7-BE06-842C0ECFB81E}"/>
    <cellStyle name="Normal 35" xfId="79" xr:uid="{8FDB2FC7-454C-4D6D-931E-409EDDE75889}"/>
    <cellStyle name="Normal 4" xfId="61" xr:uid="{A474F1BF-3758-476D-882E-87D4244A63BD}"/>
    <cellStyle name="Normal 4 2" xfId="72" xr:uid="{060FCE65-60D2-42A1-8927-DF6B8C148B83}"/>
    <cellStyle name="Normal 4 2 2" xfId="89" xr:uid="{3A660AEC-7F28-44AF-8444-606E2DC9E2A0}"/>
    <cellStyle name="Normal 4 2 2 2" xfId="93" xr:uid="{E9D038F9-845C-4F8B-966D-EB82C3F10D74}"/>
    <cellStyle name="Normal 4 2 2 2 2" xfId="97" xr:uid="{074A6BDA-0795-4157-A066-8520E9B86364}"/>
    <cellStyle name="Normal 4 2 2 2 2 2" xfId="102" xr:uid="{0CF50BB7-68C0-474B-886E-852A47B476EE}"/>
    <cellStyle name="Normal 4 2 3" xfId="101" xr:uid="{55B36F4C-01FE-4941-960D-B31F97017515}"/>
    <cellStyle name="Normal 4 3" xfId="94" xr:uid="{E997ACE8-BCCB-4186-B2B5-5170A73F3FC8}"/>
    <cellStyle name="Normal 5" xfId="62" xr:uid="{AA96F2F8-CA6B-43C8-8870-891111355214}"/>
    <cellStyle name="Normal 5 2" xfId="73" xr:uid="{52D3DC5E-E84C-43CF-9434-3437A5EFA671}"/>
    <cellStyle name="Normal 5 3" xfId="74" xr:uid="{834BB97D-FE63-4B2C-A32E-99DE322BE1B4}"/>
    <cellStyle name="Normal 6" xfId="63" xr:uid="{B006198C-68B8-463F-9DC9-D7720714EB92}"/>
    <cellStyle name="Normal 7" xfId="80" xr:uid="{E51DD1FB-EC81-4F82-BDFD-407C91C56A4E}"/>
    <cellStyle name="Normal 74" xfId="105" xr:uid="{6B00FF49-59B2-4007-A757-D87635A9CD0F}"/>
    <cellStyle name="Normal 8" xfId="81" xr:uid="{9B1E4334-FB5B-44A9-8DFD-542F71D22F55}"/>
    <cellStyle name="Normal 9" xfId="84" xr:uid="{0098D0C8-96AB-4EA1-A7CE-C28F78B59617}"/>
    <cellStyle name="Note 2" xfId="64" xr:uid="{08EAD7F6-5C4F-420D-8AA7-AE0E346ABF15}"/>
    <cellStyle name="Output 2" xfId="65" xr:uid="{BFA68DB0-6480-4F0F-8179-FA6A40949AF1}"/>
    <cellStyle name="Percent 2" xfId="66" xr:uid="{13E6242E-F7DE-4496-A575-3EFABCE1C4FC}"/>
    <cellStyle name="Percent 2 2" xfId="87" xr:uid="{A992BED3-5106-41E3-880E-7345DB046C24}"/>
    <cellStyle name="Percent 3" xfId="86" xr:uid="{620F7290-8D13-41FB-BD65-1F048E8D790B}"/>
    <cellStyle name="Style 1" xfId="67" xr:uid="{5FD7735C-5CAC-4344-8600-2A15534728AD}"/>
    <cellStyle name="Title 2" xfId="68" xr:uid="{B7677230-2AE6-4ED4-B55B-CC0165BBAE53}"/>
    <cellStyle name="Total 2" xfId="69" xr:uid="{A22B2EC9-7F46-48FA-86EE-D06C94923210}"/>
    <cellStyle name="Warning Text 2" xfId="70" xr:uid="{8B6E843B-4CB5-4B1A-956D-56ABA35F7C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C192ED3-0D78-4AA0-8EF4-0AACA7B17289}">
  <we:reference id="WA200010725" version="1.0.0.1" store="Omex" storeType="OMEX"/>
  <we:alternateReferences>
    <we:reference id="WA200010725" version="1.0.0.1" store="WA200010725" storeType="OMEX"/>
  </we:alternateReferences>
  <we:properties>
    <we:property name="claude.fileId" value="&quot;933cd495-bb43-47bd-9844-c361fbe0f6c0&quot;"/>
  </we:properties>
  <we:bindings/>
  <we:snapshot xmlns:r="http://schemas.openxmlformats.org/officeDocument/2006/relationships"/>
</we:webextension>
</file>

<file path=xl/webextensions/webextension2.xml><?xml version="1.0" encoding="utf-8"?>
<we:webextension xmlns:we="http://schemas.microsoft.com/office/webextensions/webextension/2010/11" id="{03466B2A-DEB4-4663-A628-64F56B93E023}">
  <we:reference id="WA200010215" version="2.0.0.0" store="Omex" storeType="OMEX"/>
  <we:alternateReferences>
    <we:reference id="WA200010215" version="2.0.0.0" store="WA200010215" storeType="OMEX"/>
  </we:alternateReferences>
  <we:properties>
    <we:property name="bps.codex_control.document_id" value="&quot;9d350735-7864-4f1e-85d9-fd0e2b86bda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G34"/>
  <sheetViews>
    <sheetView showGridLines="0" zoomScaleNormal="100" workbookViewId="0">
      <selection activeCell="B1" sqref="B1:E1"/>
    </sheetView>
  </sheetViews>
  <sheetFormatPr defaultColWidth="8.625" defaultRowHeight="15"/>
  <cols>
    <col min="1" max="1" width="8.625" style="1"/>
    <col min="2" max="2" width="36.625" style="1" customWidth="1"/>
    <col min="3" max="3" width="7" style="1" customWidth="1"/>
    <col min="4" max="5" width="20.875" style="1" customWidth="1"/>
    <col min="6" max="16384" width="8.625" style="1"/>
  </cols>
  <sheetData>
    <row r="1" spans="2:6" ht="24.95" customHeight="1">
      <c r="B1" s="74" t="s">
        <v>77</v>
      </c>
      <c r="C1" s="74"/>
      <c r="D1" s="74"/>
      <c r="E1" s="74"/>
    </row>
    <row r="2" spans="2:6" ht="24.95" customHeight="1">
      <c r="B2" s="75" t="s">
        <v>37</v>
      </c>
      <c r="C2" s="74"/>
      <c r="D2" s="74"/>
      <c r="E2" s="74"/>
    </row>
    <row r="3" spans="2:6" ht="8.1" customHeight="1">
      <c r="B3" s="7"/>
      <c r="C3" s="7"/>
      <c r="D3" s="7"/>
      <c r="E3" s="7"/>
    </row>
    <row r="4" spans="2:6" ht="21.95" customHeight="1">
      <c r="B4" s="2" t="s">
        <v>0</v>
      </c>
      <c r="C4" s="2" t="s">
        <v>7</v>
      </c>
      <c r="D4" s="2" t="s">
        <v>39</v>
      </c>
      <c r="E4" s="2" t="s">
        <v>38</v>
      </c>
    </row>
    <row r="5" spans="2:6" ht="18.95" customHeight="1">
      <c r="B5" s="9" t="s">
        <v>24</v>
      </c>
      <c r="C5" s="9"/>
      <c r="D5" s="9"/>
      <c r="E5" s="9"/>
    </row>
    <row r="6" spans="2:6" ht="18.95" customHeight="1">
      <c r="B6" s="8" t="s">
        <v>187</v>
      </c>
      <c r="C6" s="10">
        <v>1</v>
      </c>
      <c r="D6" s="11">
        <f>'BS Schedules'!C18</f>
        <v>13674167.850000001</v>
      </c>
      <c r="E6" s="11">
        <f>'BS Schedules'!D18</f>
        <v>12525518.510100003</v>
      </c>
      <c r="F6" s="4"/>
    </row>
    <row r="7" spans="2:6" ht="18.95" customHeight="1">
      <c r="B7" s="8" t="s">
        <v>188</v>
      </c>
      <c r="C7" s="10">
        <v>2</v>
      </c>
      <c r="D7" s="11">
        <f>'BS Schedules'!C22</f>
        <v>0</v>
      </c>
      <c r="E7" s="11">
        <f>'BS Schedules'!D22</f>
        <v>0</v>
      </c>
      <c r="F7" s="4"/>
    </row>
    <row r="8" spans="2:6" ht="18.95" customHeight="1">
      <c r="B8" s="8" t="s">
        <v>189</v>
      </c>
      <c r="C8" s="10">
        <v>2</v>
      </c>
      <c r="D8" s="11">
        <f>'BS Schedules'!C23</f>
        <v>1669000</v>
      </c>
      <c r="E8" s="11">
        <f>'BS Schedules'!D23</f>
        <v>1669000</v>
      </c>
      <c r="F8" s="4"/>
    </row>
    <row r="9" spans="2:6" ht="18.95" customHeight="1">
      <c r="B9" s="8" t="s">
        <v>1</v>
      </c>
      <c r="C9" s="10">
        <v>3</v>
      </c>
      <c r="D9" s="11">
        <f>'BS Schedules'!C28</f>
        <v>1985027.6</v>
      </c>
      <c r="E9" s="11">
        <f>'BS Schedules'!D28</f>
        <v>1697381</v>
      </c>
      <c r="F9" s="4"/>
    </row>
    <row r="10" spans="2:6" ht="18.95" customHeight="1">
      <c r="B10" s="8" t="s">
        <v>25</v>
      </c>
      <c r="C10" s="10">
        <v>4</v>
      </c>
      <c r="D10" s="11">
        <f>'BS Schedules'!C34</f>
        <v>207.83</v>
      </c>
      <c r="E10" s="11">
        <f>'BS Schedules'!D34</f>
        <v>0</v>
      </c>
      <c r="F10" s="4"/>
    </row>
    <row r="11" spans="2:6" ht="18.95" customHeight="1">
      <c r="B11" s="9" t="s">
        <v>26</v>
      </c>
      <c r="C11" s="12"/>
      <c r="D11" s="13">
        <f>SUM(D6:D10)</f>
        <v>17328403.280000001</v>
      </c>
      <c r="E11" s="13">
        <f>SUM(E6:E10)</f>
        <v>15891899.510100003</v>
      </c>
      <c r="F11" s="4"/>
    </row>
    <row r="12" spans="2:6" ht="18.95" customHeight="1">
      <c r="B12" s="8"/>
      <c r="C12" s="14"/>
      <c r="D12" s="11"/>
      <c r="E12" s="11"/>
      <c r="F12" s="4"/>
    </row>
    <row r="13" spans="2:6" ht="18.95" customHeight="1">
      <c r="B13" s="9" t="s">
        <v>27</v>
      </c>
      <c r="C13" s="12"/>
      <c r="D13" s="13"/>
      <c r="E13" s="13"/>
      <c r="F13" s="4"/>
    </row>
    <row r="14" spans="2:6" ht="18.95" customHeight="1">
      <c r="B14" s="8" t="s">
        <v>165</v>
      </c>
      <c r="C14" s="10">
        <v>5</v>
      </c>
      <c r="D14" s="11">
        <f>PPE!H11</f>
        <v>3114689.5500000003</v>
      </c>
      <c r="E14" s="11">
        <f>PPE!C11</f>
        <v>3145025</v>
      </c>
      <c r="F14" s="4"/>
    </row>
    <row r="15" spans="2:6" ht="18.95" customHeight="1">
      <c r="B15" s="8" t="s">
        <v>2</v>
      </c>
      <c r="C15" s="10">
        <v>6</v>
      </c>
      <c r="D15" s="11">
        <f>'BS Schedules'!C42</f>
        <v>750324</v>
      </c>
      <c r="E15" s="11">
        <f>'BS Schedules'!D42</f>
        <v>743296</v>
      </c>
      <c r="F15" s="4"/>
    </row>
    <row r="16" spans="2:6" ht="18.95" customHeight="1">
      <c r="B16" s="8" t="s">
        <v>28</v>
      </c>
      <c r="C16" s="10">
        <v>7</v>
      </c>
      <c r="D16" s="11">
        <f>'BS Schedules'!C46</f>
        <v>4021447.26</v>
      </c>
      <c r="E16" s="11">
        <f>'BS Schedules'!D46</f>
        <v>3664516.55</v>
      </c>
      <c r="F16" s="4"/>
    </row>
    <row r="17" spans="2:7" ht="18.95" customHeight="1">
      <c r="B17" s="8" t="s">
        <v>3</v>
      </c>
      <c r="C17" s="10">
        <v>8</v>
      </c>
      <c r="D17" s="11">
        <f>'BS Schedules'!C50</f>
        <v>6720081.6299999999</v>
      </c>
      <c r="E17" s="11">
        <f>'BS Schedules'!D50</f>
        <v>5626488.9900000002</v>
      </c>
      <c r="F17" s="4"/>
    </row>
    <row r="18" spans="2:7" ht="18.95" customHeight="1">
      <c r="B18" s="8" t="s">
        <v>29</v>
      </c>
      <c r="C18" s="10">
        <v>9</v>
      </c>
      <c r="D18" s="11">
        <f>'BS Schedules'!C58</f>
        <v>2221798.16</v>
      </c>
      <c r="E18" s="11">
        <f>'BS Schedules'!D58</f>
        <v>2270003.25</v>
      </c>
      <c r="F18" s="4"/>
    </row>
    <row r="19" spans="2:7" ht="18.95" customHeight="1">
      <c r="B19" s="8" t="s">
        <v>179</v>
      </c>
      <c r="C19" s="10">
        <v>10</v>
      </c>
      <c r="D19" s="11">
        <f>'BS Schedules'!C66</f>
        <v>478348</v>
      </c>
      <c r="E19" s="11">
        <f>'BS Schedules'!D66</f>
        <v>435779</v>
      </c>
      <c r="F19" s="4"/>
    </row>
    <row r="20" spans="2:7" ht="18.95" customHeight="1">
      <c r="B20" s="8" t="s">
        <v>64</v>
      </c>
      <c r="C20" s="10">
        <v>11</v>
      </c>
      <c r="D20" s="11">
        <f>'BS Schedules'!C70</f>
        <v>20000</v>
      </c>
      <c r="E20" s="11">
        <f>'BS Schedules'!D70</f>
        <v>0</v>
      </c>
      <c r="F20" s="4"/>
    </row>
    <row r="21" spans="2:7" ht="18.95" customHeight="1">
      <c r="B21" s="8" t="s">
        <v>30</v>
      </c>
      <c r="C21" s="10">
        <v>12</v>
      </c>
      <c r="D21" s="11">
        <f>'BS Schedules'!C74</f>
        <v>1714.68</v>
      </c>
      <c r="E21" s="11">
        <f>'BS Schedules'!D76</f>
        <v>6791.02</v>
      </c>
      <c r="F21" s="4"/>
    </row>
    <row r="22" spans="2:7" ht="18.95" customHeight="1">
      <c r="B22" s="9" t="s">
        <v>31</v>
      </c>
      <c r="C22" s="9"/>
      <c r="D22" s="13">
        <f>SUM(D14:D21)</f>
        <v>17328403.280000001</v>
      </c>
      <c r="E22" s="13">
        <f>SUM(E14:E21)</f>
        <v>15891899.809999999</v>
      </c>
      <c r="F22" s="4">
        <f>D11-D22</f>
        <v>0</v>
      </c>
      <c r="G22" s="35">
        <f>E11-E22</f>
        <v>-0.29989999532699585</v>
      </c>
    </row>
    <row r="23" spans="2:7" ht="20.100000000000001" customHeight="1">
      <c r="B23" s="7"/>
      <c r="C23" s="7"/>
      <c r="D23" s="7"/>
      <c r="E23" s="7"/>
    </row>
    <row r="24" spans="2:7">
      <c r="B24" s="15"/>
      <c r="C24" s="15"/>
      <c r="D24" s="15"/>
      <c r="E24" s="15"/>
    </row>
    <row r="25" spans="2:7">
      <c r="B25" s="15"/>
      <c r="C25" s="15"/>
      <c r="D25" s="15"/>
      <c r="E25" s="15"/>
    </row>
    <row r="26" spans="2:7">
      <c r="B26" s="15" t="s">
        <v>164</v>
      </c>
      <c r="C26" s="15"/>
      <c r="D26" s="15"/>
      <c r="E26" s="15" t="s">
        <v>41</v>
      </c>
    </row>
    <row r="27" spans="2:7">
      <c r="B27" s="15"/>
      <c r="C27" s="15"/>
      <c r="D27" s="15"/>
      <c r="E27" s="15" t="s">
        <v>42</v>
      </c>
    </row>
    <row r="28" spans="2:7">
      <c r="B28" s="15"/>
      <c r="C28" s="15"/>
      <c r="D28" s="15"/>
      <c r="E28" s="15" t="s">
        <v>43</v>
      </c>
    </row>
    <row r="29" spans="2:7">
      <c r="B29" s="15"/>
      <c r="C29" s="15"/>
      <c r="D29" s="15"/>
      <c r="E29" s="15"/>
    </row>
    <row r="30" spans="2:7">
      <c r="B30" s="15"/>
      <c r="C30" s="15"/>
      <c r="D30" s="15"/>
      <c r="E30" s="15"/>
    </row>
    <row r="31" spans="2:7">
      <c r="B31" s="15"/>
      <c r="C31" s="15"/>
      <c r="D31" s="15"/>
      <c r="E31" s="15"/>
    </row>
    <row r="32" spans="2:7">
      <c r="B32" s="15"/>
      <c r="C32" s="15"/>
      <c r="D32" s="15"/>
      <c r="E32" s="15" t="s">
        <v>46</v>
      </c>
    </row>
    <row r="33" spans="2:5">
      <c r="B33" s="15"/>
      <c r="C33" s="15"/>
      <c r="D33" s="15"/>
      <c r="E33" s="15" t="s">
        <v>44</v>
      </c>
    </row>
    <row r="34" spans="2:5">
      <c r="B34" s="15"/>
      <c r="C34" s="15"/>
      <c r="D34" s="15"/>
      <c r="E34" s="15" t="s">
        <v>45</v>
      </c>
    </row>
  </sheetData>
  <mergeCells count="2">
    <mergeCell ref="B1:E1"/>
    <mergeCell ref="B2:E2"/>
  </mergeCells>
  <printOptions horizontalCentered="1"/>
  <pageMargins left="0.4" right="0.4" top="0.5" bottom="0.5" header="0.25" footer="0.25"/>
  <pageSetup paperSize="9" fitToHeight="0" orientation="portrait" r:id="rId1"/>
  <headerFooter>
    <oddFooter>&amp;LBalance Sheet&amp;RPage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H24"/>
  <sheetViews>
    <sheetView showGridLines="0" topLeftCell="A2" zoomScale="115" zoomScaleNormal="115" workbookViewId="0">
      <selection activeCell="D5" sqref="D5"/>
    </sheetView>
  </sheetViews>
  <sheetFormatPr defaultColWidth="8.625" defaultRowHeight="15"/>
  <cols>
    <col min="1" max="1" width="8.625" style="1"/>
    <col min="2" max="2" width="38.375" style="1" customWidth="1"/>
    <col min="3" max="3" width="8" style="1" customWidth="1"/>
    <col min="4" max="6" width="20" style="1" customWidth="1"/>
    <col min="7" max="8" width="9.375" style="1" bestFit="1" customWidth="1"/>
    <col min="9" max="9" width="10.375" style="1" bestFit="1" customWidth="1"/>
    <col min="10" max="16384" width="8.625" style="1"/>
  </cols>
  <sheetData>
    <row r="1" spans="2:8" ht="24.95" customHeight="1">
      <c r="B1" s="74" t="s">
        <v>77</v>
      </c>
      <c r="C1" s="74"/>
      <c r="D1" s="74"/>
      <c r="E1" s="74"/>
      <c r="F1" s="3"/>
    </row>
    <row r="2" spans="2:8" ht="24.95" customHeight="1">
      <c r="B2" s="76" t="s">
        <v>40</v>
      </c>
      <c r="C2" s="77"/>
      <c r="D2" s="77"/>
      <c r="E2" s="77"/>
      <c r="F2" s="16"/>
    </row>
    <row r="3" spans="2:8" ht="8.1" customHeight="1">
      <c r="B3" s="7"/>
      <c r="C3" s="7"/>
      <c r="D3" s="7"/>
      <c r="E3" s="7"/>
      <c r="F3" s="7"/>
    </row>
    <row r="4" spans="2:8" ht="21.95" customHeight="1">
      <c r="B4" s="2" t="s">
        <v>0</v>
      </c>
      <c r="C4" s="2" t="s">
        <v>7</v>
      </c>
      <c r="D4" s="2" t="s">
        <v>39</v>
      </c>
      <c r="E4" s="2" t="s">
        <v>38</v>
      </c>
      <c r="F4" s="21"/>
    </row>
    <row r="5" spans="2:8" ht="18.95" customHeight="1">
      <c r="B5" s="8" t="s">
        <v>5</v>
      </c>
      <c r="C5" s="8">
        <v>13</v>
      </c>
      <c r="D5" s="11">
        <f>'P&amp;L Notes'!C5</f>
        <v>84131053.109999999</v>
      </c>
      <c r="E5" s="11">
        <f>'P&amp;L Notes'!D5</f>
        <v>95865039.180000007</v>
      </c>
      <c r="F5" s="22"/>
      <c r="G5" s="4"/>
    </row>
    <row r="6" spans="2:8" ht="18.95" customHeight="1">
      <c r="B6" s="8" t="s">
        <v>32</v>
      </c>
      <c r="C6" s="8">
        <v>14</v>
      </c>
      <c r="D6" s="11">
        <f>'P&amp;L Notes'!C17</f>
        <v>81561323.049999997</v>
      </c>
      <c r="E6" s="11">
        <f>'P&amp;L Notes'!D17</f>
        <v>93086064.219999999</v>
      </c>
      <c r="F6" s="22"/>
      <c r="G6" s="4"/>
    </row>
    <row r="7" spans="2:8" ht="18.95" customHeight="1">
      <c r="B7" s="9" t="s">
        <v>21</v>
      </c>
      <c r="C7" s="9"/>
      <c r="D7" s="13">
        <f>D5-D6</f>
        <v>2569730.0600000024</v>
      </c>
      <c r="E7" s="13">
        <f>E5-E6</f>
        <v>2778974.9600000083</v>
      </c>
      <c r="F7" s="23"/>
      <c r="G7" s="4"/>
    </row>
    <row r="8" spans="2:8" ht="18.95" customHeight="1">
      <c r="B8" s="8" t="s">
        <v>33</v>
      </c>
      <c r="C8" s="8">
        <v>15</v>
      </c>
      <c r="D8" s="11">
        <f>'P&amp;L Notes'!C9</f>
        <v>0</v>
      </c>
      <c r="E8" s="11">
        <f>'P&amp;L Notes'!D9</f>
        <v>0</v>
      </c>
      <c r="F8" s="22"/>
      <c r="G8" s="4"/>
      <c r="H8" s="4"/>
    </row>
    <row r="9" spans="2:8" ht="18.95" customHeight="1">
      <c r="B9" s="9" t="s">
        <v>34</v>
      </c>
      <c r="C9" s="9"/>
      <c r="D9" s="13">
        <f>D7+D8</f>
        <v>2569730.0600000024</v>
      </c>
      <c r="E9" s="13">
        <f>E7+E8</f>
        <v>2778974.9600000083</v>
      </c>
      <c r="F9" s="23"/>
      <c r="G9" s="4"/>
    </row>
    <row r="10" spans="2:8" ht="18.95" customHeight="1">
      <c r="B10" s="8" t="s">
        <v>35</v>
      </c>
      <c r="C10" s="8">
        <v>16</v>
      </c>
      <c r="D10" s="11">
        <f>'P&amp;L Notes'!C33</f>
        <v>881162.57</v>
      </c>
      <c r="E10" s="11">
        <f>'P&amp;L Notes'!D33</f>
        <v>952497.58</v>
      </c>
      <c r="F10" s="22"/>
      <c r="G10" s="4"/>
    </row>
    <row r="11" spans="2:8" ht="18.95" customHeight="1">
      <c r="B11" s="8" t="s">
        <v>36</v>
      </c>
      <c r="C11" s="8">
        <v>17</v>
      </c>
      <c r="D11" s="11">
        <f>'P&amp;L Notes'!C38</f>
        <v>19041.61</v>
      </c>
      <c r="E11" s="11">
        <f>'P&amp;L Notes'!D38</f>
        <v>25297.68</v>
      </c>
      <c r="F11" s="22"/>
      <c r="G11" s="4"/>
    </row>
    <row r="12" spans="2:8" ht="18.95" customHeight="1">
      <c r="B12" s="9" t="s">
        <v>186</v>
      </c>
      <c r="C12" s="9"/>
      <c r="D12" s="13">
        <f>D9-D10-D11</f>
        <v>1669525.8800000024</v>
      </c>
      <c r="E12" s="13">
        <f>E9-E10-E11</f>
        <v>1801179.7000000083</v>
      </c>
      <c r="F12" s="23"/>
      <c r="G12" s="4"/>
    </row>
    <row r="13" spans="2:8" ht="18.95" customHeight="1">
      <c r="B13" s="8"/>
      <c r="C13" s="8"/>
      <c r="D13" s="11"/>
      <c r="E13" s="11"/>
      <c r="F13" s="22"/>
      <c r="G13" s="4"/>
    </row>
    <row r="14" spans="2:8" ht="20.100000000000001" customHeight="1">
      <c r="B14" s="7"/>
      <c r="C14" s="7"/>
      <c r="D14" s="7"/>
      <c r="E14" s="7"/>
      <c r="F14" s="7"/>
    </row>
    <row r="15" spans="2:8" ht="20.100000000000001" customHeight="1">
      <c r="B15" s="7"/>
      <c r="C15" s="7"/>
      <c r="D15" s="7"/>
      <c r="E15" s="7"/>
      <c r="F15" s="7"/>
    </row>
    <row r="16" spans="2:8">
      <c r="B16" s="15" t="str">
        <f>'Balance Sheet'!B26</f>
        <v>For Venus Agencies</v>
      </c>
      <c r="C16" s="15"/>
      <c r="D16" s="15"/>
      <c r="E16" s="15" t="s">
        <v>41</v>
      </c>
      <c r="F16" s="15"/>
    </row>
    <row r="17" spans="2:6">
      <c r="B17" s="15"/>
      <c r="C17" s="15"/>
      <c r="D17" s="15"/>
      <c r="E17" s="15" t="s">
        <v>42</v>
      </c>
      <c r="F17" s="15"/>
    </row>
    <row r="18" spans="2:6">
      <c r="B18" s="15"/>
      <c r="C18" s="15"/>
      <c r="D18" s="15"/>
      <c r="E18" s="15" t="s">
        <v>43</v>
      </c>
      <c r="F18" s="15"/>
    </row>
    <row r="19" spans="2:6">
      <c r="B19" s="15"/>
      <c r="C19" s="15"/>
      <c r="D19" s="15"/>
      <c r="E19" s="15"/>
      <c r="F19" s="15"/>
    </row>
    <row r="20" spans="2:6">
      <c r="B20" s="15"/>
      <c r="C20" s="15"/>
      <c r="D20" s="15"/>
      <c r="E20" s="15"/>
      <c r="F20" s="15"/>
    </row>
    <row r="21" spans="2:6">
      <c r="B21" s="15"/>
      <c r="C21" s="15"/>
      <c r="D21" s="15"/>
      <c r="E21" s="15"/>
      <c r="F21" s="15"/>
    </row>
    <row r="22" spans="2:6">
      <c r="B22" s="15"/>
      <c r="C22" s="15"/>
      <c r="D22" s="15"/>
      <c r="E22" s="15" t="s">
        <v>46</v>
      </c>
      <c r="F22" s="15"/>
    </row>
    <row r="23" spans="2:6">
      <c r="B23" s="15"/>
      <c r="C23" s="15"/>
      <c r="D23" s="15"/>
      <c r="E23" s="15" t="s">
        <v>44</v>
      </c>
      <c r="F23" s="15"/>
    </row>
    <row r="24" spans="2:6">
      <c r="B24" s="15"/>
      <c r="C24" s="15"/>
      <c r="D24" s="15"/>
      <c r="E24" s="15" t="s">
        <v>45</v>
      </c>
      <c r="F24" s="15"/>
    </row>
  </sheetData>
  <mergeCells count="2">
    <mergeCell ref="B1:E1"/>
    <mergeCell ref="B2:E2"/>
  </mergeCells>
  <printOptions horizontalCentered="1"/>
  <pageMargins left="0.4" right="0.4" top="0.5" bottom="0.5" header="0.25" footer="0.25"/>
  <pageSetup paperSize="9" fitToHeight="0" orientation="portrait" r:id="rId1"/>
  <headerFooter>
    <oddFooter>&amp;LProfit &amp; Loss&amp;RPage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F76"/>
  <sheetViews>
    <sheetView showGridLines="0" topLeftCell="A70" zoomScaleNormal="100" workbookViewId="0">
      <selection activeCell="B71" sqref="B71"/>
    </sheetView>
  </sheetViews>
  <sheetFormatPr defaultColWidth="8.625" defaultRowHeight="15"/>
  <cols>
    <col min="1" max="1" width="8.625" style="1"/>
    <col min="2" max="2" width="29.5" style="1" customWidth="1"/>
    <col min="3" max="3" width="40.875" style="1" customWidth="1"/>
    <col min="4" max="5" width="20" style="6" customWidth="1"/>
    <col min="6" max="16384" width="8.625" style="1"/>
  </cols>
  <sheetData>
    <row r="1" spans="2:5" ht="24.95" customHeight="1">
      <c r="B1" s="79" t="s">
        <v>9</v>
      </c>
      <c r="C1" s="79"/>
      <c r="D1" s="79"/>
      <c r="E1" s="79"/>
    </row>
    <row r="2" spans="2:5" ht="8.1" customHeight="1">
      <c r="B2" s="15"/>
      <c r="C2" s="15"/>
      <c r="D2" s="17"/>
      <c r="E2" s="17"/>
    </row>
    <row r="3" spans="2:5" ht="21.95" customHeight="1">
      <c r="B3" s="73" t="s">
        <v>139</v>
      </c>
      <c r="C3" s="73"/>
      <c r="D3" s="73"/>
      <c r="E3" s="73"/>
    </row>
    <row r="4" spans="2:5" ht="21" customHeight="1">
      <c r="B4" s="2" t="s">
        <v>0</v>
      </c>
      <c r="C4" s="5" t="s">
        <v>39</v>
      </c>
      <c r="D4" s="5" t="s">
        <v>38</v>
      </c>
      <c r="E4" s="1"/>
    </row>
    <row r="5" spans="2:5" ht="21" customHeight="1">
      <c r="B5" s="8" t="s">
        <v>140</v>
      </c>
      <c r="C5" s="69">
        <v>12525518.09</v>
      </c>
      <c r="D5" s="69">
        <v>11401928.650100004</v>
      </c>
      <c r="E5" s="1"/>
    </row>
    <row r="6" spans="2:5" ht="21" customHeight="1">
      <c r="B6" s="9" t="s">
        <v>141</v>
      </c>
      <c r="C6" s="70"/>
      <c r="D6" s="5"/>
      <c r="E6" s="1"/>
    </row>
    <row r="7" spans="2:5" ht="21" customHeight="1">
      <c r="B7" s="8" t="s">
        <v>142</v>
      </c>
      <c r="C7" s="69">
        <f>'Profit &amp; Loss'!D12</f>
        <v>1669525.8800000024</v>
      </c>
      <c r="D7" s="69">
        <v>1801179.8599999994</v>
      </c>
      <c r="E7" s="1"/>
    </row>
    <row r="8" spans="2:5" ht="21" customHeight="1">
      <c r="B8" s="8" t="s">
        <v>146</v>
      </c>
      <c r="C8" s="69">
        <f>TB!C14</f>
        <v>65850</v>
      </c>
      <c r="D8" s="69">
        <v>0</v>
      </c>
      <c r="E8" s="1"/>
    </row>
    <row r="9" spans="2:5" ht="21" customHeight="1">
      <c r="B9" s="8" t="s">
        <v>197</v>
      </c>
      <c r="C9" s="69">
        <f>TB!C16</f>
        <v>78607</v>
      </c>
      <c r="D9" s="69">
        <f>39376+50561</f>
        <v>89937</v>
      </c>
      <c r="E9" s="1"/>
    </row>
    <row r="10" spans="2:5" ht="21" customHeight="1">
      <c r="B10" s="8" t="s">
        <v>152</v>
      </c>
      <c r="C10" s="69">
        <f>(5101.88)</f>
        <v>5101.88</v>
      </c>
      <c r="D10" s="69">
        <v>2595</v>
      </c>
      <c r="E10" s="1"/>
    </row>
    <row r="11" spans="2:5" ht="21" customHeight="1">
      <c r="B11" s="8" t="s">
        <v>147</v>
      </c>
      <c r="C11" s="69">
        <v>51346</v>
      </c>
      <c r="D11" s="69">
        <v>31222</v>
      </c>
      <c r="E11" s="1"/>
    </row>
    <row r="12" spans="2:5" s="61" customFormat="1" ht="21" customHeight="1">
      <c r="B12" s="9" t="s">
        <v>143</v>
      </c>
      <c r="C12" s="5">
        <f>SUM(C7:C11)</f>
        <v>1870430.7600000023</v>
      </c>
      <c r="D12" s="5">
        <f>SUM(D7:D11)</f>
        <v>1924933.8599999994</v>
      </c>
    </row>
    <row r="13" spans="2:5" ht="18" customHeight="1">
      <c r="B13" s="9" t="s">
        <v>144</v>
      </c>
      <c r="C13" s="18"/>
      <c r="D13" s="27"/>
      <c r="E13" s="1"/>
    </row>
    <row r="14" spans="2:5" ht="18" customHeight="1">
      <c r="B14" s="8" t="s">
        <v>145</v>
      </c>
      <c r="C14" s="18">
        <f>360000+45120+363+63073+195000</f>
        <v>663556</v>
      </c>
      <c r="D14" s="27">
        <f>360000+63073-33415+332057</f>
        <v>721715</v>
      </c>
      <c r="E14" s="1"/>
    </row>
    <row r="15" spans="2:5" ht="18" customHeight="1">
      <c r="B15" s="8" t="s">
        <v>148</v>
      </c>
      <c r="C15" s="18">
        <f>51149</f>
        <v>51149</v>
      </c>
      <c r="D15" s="27">
        <v>57134</v>
      </c>
      <c r="E15" s="1"/>
    </row>
    <row r="16" spans="2:5" ht="18" customHeight="1">
      <c r="B16" s="8" t="s">
        <v>149</v>
      </c>
      <c r="C16" s="18">
        <v>7076</v>
      </c>
      <c r="D16" s="27">
        <f>1598+10453+10444</f>
        <v>22495</v>
      </c>
      <c r="E16" s="1"/>
    </row>
    <row r="17" spans="2:6" ht="18" customHeight="1">
      <c r="B17" s="9" t="s">
        <v>150</v>
      </c>
      <c r="C17" s="19">
        <f>SUM(C14:C16)</f>
        <v>721781</v>
      </c>
      <c r="D17" s="19">
        <f>SUM(D14:D16)</f>
        <v>801344</v>
      </c>
      <c r="E17" s="1"/>
    </row>
    <row r="18" spans="2:6" ht="21.75" customHeight="1">
      <c r="B18" s="62" t="s">
        <v>151</v>
      </c>
      <c r="C18" s="19">
        <f>C5+C12-C17</f>
        <v>13674167.850000001</v>
      </c>
      <c r="D18" s="19">
        <f>D5+D12-D17</f>
        <v>12525518.510100003</v>
      </c>
      <c r="E18" s="71">
        <f>D18-C5</f>
        <v>0.42010000348091125</v>
      </c>
      <c r="F18" s="71"/>
    </row>
    <row r="19" spans="2:6" ht="18" customHeight="1">
      <c r="B19" s="15"/>
      <c r="C19" s="15"/>
      <c r="D19" s="17"/>
      <c r="E19" s="17"/>
    </row>
    <row r="20" spans="2:6" ht="21.95" customHeight="1">
      <c r="B20" s="73" t="s">
        <v>10</v>
      </c>
      <c r="C20" s="73"/>
      <c r="D20" s="78"/>
      <c r="E20" s="78"/>
    </row>
    <row r="21" spans="2:6" ht="21" customHeight="1">
      <c r="B21" s="2" t="s">
        <v>0</v>
      </c>
      <c r="C21" s="5" t="s">
        <v>39</v>
      </c>
      <c r="D21" s="5" t="s">
        <v>38</v>
      </c>
      <c r="E21" s="1"/>
    </row>
    <row r="22" spans="2:6" ht="18" customHeight="1">
      <c r="B22" s="8" t="s">
        <v>188</v>
      </c>
      <c r="C22" s="18">
        <v>0</v>
      </c>
      <c r="D22" s="18">
        <v>0</v>
      </c>
      <c r="E22" s="1"/>
    </row>
    <row r="23" spans="2:6" ht="18" customHeight="1">
      <c r="B23" s="8" t="s">
        <v>189</v>
      </c>
      <c r="C23" s="18">
        <f>TB!C19</f>
        <v>1669000</v>
      </c>
      <c r="D23" s="18">
        <v>1669000</v>
      </c>
      <c r="E23" s="1"/>
    </row>
    <row r="24" spans="2:6" ht="18" customHeight="1">
      <c r="B24" s="9" t="s">
        <v>11</v>
      </c>
      <c r="C24" s="19">
        <f>SUM(C22:C23)</f>
        <v>1669000</v>
      </c>
      <c r="D24" s="19">
        <f>SUM(D22:D23)</f>
        <v>1669000</v>
      </c>
      <c r="E24" s="1"/>
    </row>
    <row r="25" spans="2:6" ht="18" customHeight="1">
      <c r="B25" s="15"/>
      <c r="C25" s="15"/>
      <c r="D25" s="17"/>
      <c r="E25" s="17"/>
    </row>
    <row r="26" spans="2:6" ht="21.95" customHeight="1">
      <c r="B26" s="73" t="s">
        <v>12</v>
      </c>
      <c r="C26" s="73"/>
      <c r="D26" s="78"/>
      <c r="E26" s="78"/>
    </row>
    <row r="27" spans="2:6" ht="21" customHeight="1">
      <c r="B27" s="2" t="s">
        <v>0</v>
      </c>
      <c r="C27" s="5" t="s">
        <v>39</v>
      </c>
      <c r="D27" s="5" t="s">
        <v>38</v>
      </c>
      <c r="E27" s="1"/>
    </row>
    <row r="28" spans="2:6" ht="18" customHeight="1">
      <c r="B28" s="8" t="s">
        <v>13</v>
      </c>
      <c r="C28" s="18">
        <f>TB!C24-TB!B24</f>
        <v>1985027.6</v>
      </c>
      <c r="D28" s="28">
        <v>1697381</v>
      </c>
      <c r="E28" s="1"/>
    </row>
    <row r="29" spans="2:6" ht="18" customHeight="1">
      <c r="B29" s="15"/>
      <c r="C29" s="15"/>
      <c r="D29" s="17"/>
      <c r="E29" s="17"/>
    </row>
    <row r="30" spans="2:6" ht="18" customHeight="1">
      <c r="B30" s="15"/>
      <c r="C30" s="15"/>
      <c r="D30" s="17"/>
      <c r="E30" s="17"/>
    </row>
    <row r="31" spans="2:6" ht="21.95" customHeight="1">
      <c r="B31" s="73" t="s">
        <v>14</v>
      </c>
      <c r="C31" s="73"/>
      <c r="D31" s="78"/>
      <c r="E31" s="78"/>
    </row>
    <row r="32" spans="2:6" ht="21" customHeight="1">
      <c r="B32" s="2" t="s">
        <v>0</v>
      </c>
      <c r="C32" s="5" t="s">
        <v>39</v>
      </c>
      <c r="D32" s="5" t="s">
        <v>38</v>
      </c>
      <c r="E32" s="1"/>
    </row>
    <row r="33" spans="2:5" ht="18" customHeight="1">
      <c r="B33" s="8" t="s">
        <v>153</v>
      </c>
      <c r="C33" s="18">
        <f>TB!C22</f>
        <v>207.83</v>
      </c>
      <c r="D33" s="27">
        <v>0</v>
      </c>
      <c r="E33" s="1"/>
    </row>
    <row r="34" spans="2:5" ht="32.25" customHeight="1">
      <c r="B34" s="9" t="s">
        <v>15</v>
      </c>
      <c r="C34" s="19">
        <f>SUM(C33:C33)</f>
        <v>207.83</v>
      </c>
      <c r="D34" s="19">
        <f>SUM(D33:D33)</f>
        <v>0</v>
      </c>
      <c r="E34" s="20"/>
    </row>
    <row r="35" spans="2:5" ht="18" customHeight="1">
      <c r="B35" s="15"/>
      <c r="C35" s="15"/>
      <c r="D35" s="17"/>
      <c r="E35" s="17"/>
    </row>
    <row r="36" spans="2:5" ht="21.95" customHeight="1">
      <c r="B36" s="73" t="s">
        <v>166</v>
      </c>
      <c r="C36" s="73"/>
      <c r="D36" s="78"/>
      <c r="E36" s="78"/>
    </row>
    <row r="37" spans="2:5" ht="21" customHeight="1">
      <c r="B37" s="2" t="s">
        <v>0</v>
      </c>
      <c r="C37" s="5" t="s">
        <v>39</v>
      </c>
      <c r="D37" s="5" t="s">
        <v>38</v>
      </c>
      <c r="E37" s="1"/>
    </row>
    <row r="38" spans="2:5" ht="18" customHeight="1">
      <c r="B38" s="8" t="s">
        <v>170</v>
      </c>
      <c r="C38" s="18">
        <f>TB!B34</f>
        <v>45911</v>
      </c>
      <c r="D38" s="27">
        <v>45911</v>
      </c>
      <c r="E38" s="1"/>
    </row>
    <row r="39" spans="2:5" ht="18" customHeight="1">
      <c r="B39" s="8" t="s">
        <v>171</v>
      </c>
      <c r="C39" s="18">
        <f>TB!B35</f>
        <v>10250</v>
      </c>
      <c r="D39" s="27">
        <v>10250</v>
      </c>
      <c r="E39" s="1"/>
    </row>
    <row r="40" spans="2:5" ht="18" customHeight="1">
      <c r="B40" s="8" t="s">
        <v>193</v>
      </c>
      <c r="C40" s="18">
        <v>0</v>
      </c>
      <c r="D40" s="27">
        <v>29010</v>
      </c>
      <c r="E40" s="1"/>
    </row>
    <row r="41" spans="2:5" ht="18" customHeight="1">
      <c r="B41" s="8" t="s">
        <v>113</v>
      </c>
      <c r="C41" s="18">
        <f>TB!B36</f>
        <v>694163</v>
      </c>
      <c r="D41" s="27">
        <v>658125</v>
      </c>
      <c r="E41" s="1"/>
    </row>
    <row r="42" spans="2:5" ht="18" customHeight="1">
      <c r="B42" s="9" t="s">
        <v>172</v>
      </c>
      <c r="C42" s="19">
        <f>SUM(C38:C41)</f>
        <v>750324</v>
      </c>
      <c r="D42" s="19">
        <f>SUM(D38:D41)</f>
        <v>743296</v>
      </c>
      <c r="E42" s="1"/>
    </row>
    <row r="43" spans="2:5" ht="18" customHeight="1">
      <c r="B43" s="15"/>
      <c r="C43" s="15"/>
      <c r="D43" s="17"/>
      <c r="E43" s="17"/>
    </row>
    <row r="44" spans="2:5" ht="21.95" customHeight="1">
      <c r="B44" s="73" t="s">
        <v>167</v>
      </c>
      <c r="C44" s="73"/>
      <c r="D44" s="78"/>
      <c r="E44" s="78"/>
    </row>
    <row r="45" spans="2:5" ht="21" customHeight="1">
      <c r="B45" s="2" t="s">
        <v>0</v>
      </c>
      <c r="C45" s="5" t="s">
        <v>39</v>
      </c>
      <c r="D45" s="5" t="s">
        <v>38</v>
      </c>
      <c r="E45" s="1"/>
    </row>
    <row r="46" spans="2:5" ht="18" customHeight="1">
      <c r="B46" s="8" t="s">
        <v>8</v>
      </c>
      <c r="C46" s="18">
        <f>'P&amp;L Notes'!C16</f>
        <v>4021447.26</v>
      </c>
      <c r="D46" s="18">
        <f>'P&amp;L Notes'!D16</f>
        <v>3664516.55</v>
      </c>
      <c r="E46" s="1"/>
    </row>
    <row r="47" spans="2:5" ht="18" customHeight="1">
      <c r="B47" s="15"/>
      <c r="C47" s="15"/>
      <c r="D47" s="17"/>
      <c r="E47" s="17"/>
    </row>
    <row r="48" spans="2:5" ht="21.95" customHeight="1">
      <c r="B48" s="73" t="s">
        <v>168</v>
      </c>
      <c r="C48" s="73"/>
      <c r="D48" s="78"/>
      <c r="E48" s="78"/>
    </row>
    <row r="49" spans="2:5" ht="21" customHeight="1">
      <c r="B49" s="2" t="s">
        <v>0</v>
      </c>
      <c r="C49" s="5" t="s">
        <v>39</v>
      </c>
      <c r="D49" s="5" t="s">
        <v>38</v>
      </c>
      <c r="E49" s="1"/>
    </row>
    <row r="50" spans="2:5" ht="18" customHeight="1">
      <c r="B50" s="8" t="s">
        <v>16</v>
      </c>
      <c r="C50" s="18">
        <f>TB!B45</f>
        <v>6720081.6299999999</v>
      </c>
      <c r="D50" s="30">
        <v>5626488.9900000002</v>
      </c>
      <c r="E50" s="1"/>
    </row>
    <row r="51" spans="2:5" ht="18" customHeight="1">
      <c r="B51" s="15"/>
      <c r="C51" s="15"/>
      <c r="D51" s="17"/>
      <c r="E51" s="17"/>
    </row>
    <row r="52" spans="2:5" ht="18" customHeight="1">
      <c r="B52" s="15"/>
      <c r="C52" s="15"/>
      <c r="D52" s="17"/>
      <c r="E52" s="17"/>
    </row>
    <row r="53" spans="2:5" ht="21.95" customHeight="1">
      <c r="B53" s="73" t="s">
        <v>169</v>
      </c>
      <c r="C53" s="73"/>
      <c r="D53" s="78"/>
      <c r="E53" s="78"/>
    </row>
    <row r="54" spans="2:5" ht="21" customHeight="1">
      <c r="B54" s="2" t="s">
        <v>0</v>
      </c>
      <c r="C54" s="5" t="s">
        <v>39</v>
      </c>
      <c r="D54" s="5" t="s">
        <v>38</v>
      </c>
      <c r="E54" s="1"/>
    </row>
    <row r="55" spans="2:5" ht="21" customHeight="1">
      <c r="B55" s="8" t="s">
        <v>106</v>
      </c>
      <c r="C55" s="69">
        <f>TB!B48</f>
        <v>1029943.56</v>
      </c>
      <c r="D55" s="69">
        <v>1022573.99</v>
      </c>
      <c r="E55" s="1"/>
    </row>
    <row r="56" spans="2:5" ht="21" customHeight="1">
      <c r="B56" s="8" t="s">
        <v>105</v>
      </c>
      <c r="C56" s="69">
        <f>TB!B49</f>
        <v>174594.64</v>
      </c>
      <c r="D56" s="69">
        <v>215593.76</v>
      </c>
      <c r="E56" s="1"/>
    </row>
    <row r="57" spans="2:5" ht="18" customHeight="1">
      <c r="B57" s="8" t="s">
        <v>4</v>
      </c>
      <c r="C57" s="18">
        <f>TB!B46</f>
        <v>1017259.96</v>
      </c>
      <c r="D57" s="29">
        <f>1031835+0.5</f>
        <v>1031835.5</v>
      </c>
      <c r="E57" s="1"/>
    </row>
    <row r="58" spans="2:5" ht="18" customHeight="1">
      <c r="B58" s="9" t="s">
        <v>17</v>
      </c>
      <c r="C58" s="19">
        <f>SUM(C55:C57)</f>
        <v>2221798.16</v>
      </c>
      <c r="D58" s="19">
        <f>SUM(D55:D57)</f>
        <v>2270003.25</v>
      </c>
      <c r="E58" s="1"/>
    </row>
    <row r="59" spans="2:5" ht="18" customHeight="1">
      <c r="B59" s="15"/>
      <c r="C59" s="15"/>
      <c r="D59" s="17"/>
      <c r="E59" s="17"/>
    </row>
    <row r="60" spans="2:5" ht="21.95" customHeight="1">
      <c r="B60" s="73" t="s">
        <v>175</v>
      </c>
      <c r="C60" s="73"/>
      <c r="D60" s="78"/>
      <c r="E60" s="78"/>
    </row>
    <row r="61" spans="2:5" ht="21" customHeight="1">
      <c r="B61" s="2" t="s">
        <v>0</v>
      </c>
      <c r="C61" s="5" t="s">
        <v>39</v>
      </c>
      <c r="D61" s="5" t="s">
        <v>38</v>
      </c>
      <c r="E61" s="1"/>
    </row>
    <row r="62" spans="2:5" ht="21" customHeight="1">
      <c r="B62" s="8" t="s">
        <v>111</v>
      </c>
      <c r="C62" s="69">
        <f>TB!B40</f>
        <v>13508</v>
      </c>
      <c r="D62" s="69">
        <v>13508</v>
      </c>
      <c r="E62" s="1"/>
    </row>
    <row r="63" spans="2:5" ht="21" customHeight="1">
      <c r="B63" s="8" t="s">
        <v>173</v>
      </c>
      <c r="C63" s="69">
        <f>TB!B41</f>
        <v>300211</v>
      </c>
      <c r="D63" s="69">
        <v>271373</v>
      </c>
      <c r="E63" s="1"/>
    </row>
    <row r="64" spans="2:5" ht="18" customHeight="1">
      <c r="B64" s="8" t="s">
        <v>109</v>
      </c>
      <c r="C64" s="69">
        <f>TB!B42</f>
        <v>9832</v>
      </c>
      <c r="D64" s="69">
        <v>9832</v>
      </c>
      <c r="E64" s="1"/>
    </row>
    <row r="65" spans="2:5" ht="18" customHeight="1">
      <c r="B65" s="8" t="s">
        <v>108</v>
      </c>
      <c r="C65" s="69">
        <f>TB!B43</f>
        <v>154797</v>
      </c>
      <c r="D65" s="69">
        <v>141066</v>
      </c>
      <c r="E65" s="17"/>
    </row>
    <row r="66" spans="2:5" ht="27.75" customHeight="1">
      <c r="B66" s="9" t="s">
        <v>176</v>
      </c>
      <c r="C66" s="19">
        <f>SUM(C62:C65)</f>
        <v>478348</v>
      </c>
      <c r="D66" s="19">
        <f>SUM(D62:D65)</f>
        <v>435779</v>
      </c>
      <c r="E66" s="1"/>
    </row>
    <row r="67" spans="2:5">
      <c r="B67" s="15"/>
      <c r="C67" s="15"/>
      <c r="D67" s="17"/>
    </row>
    <row r="68" spans="2:5" ht="28.5" customHeight="1">
      <c r="B68" s="73" t="s">
        <v>177</v>
      </c>
      <c r="C68" s="73"/>
      <c r="D68" s="78"/>
    </row>
    <row r="69" spans="2:5" ht="21.75" customHeight="1">
      <c r="B69" s="2" t="s">
        <v>0</v>
      </c>
      <c r="C69" s="5" t="s">
        <v>39</v>
      </c>
      <c r="D69" s="5" t="s">
        <v>38</v>
      </c>
    </row>
    <row r="70" spans="2:5" ht="28.5" customHeight="1">
      <c r="B70" s="8" t="s">
        <v>198</v>
      </c>
      <c r="C70" s="18">
        <f>TB!B44</f>
        <v>20000</v>
      </c>
      <c r="D70" s="18">
        <v>0</v>
      </c>
    </row>
    <row r="72" spans="2:5" ht="23.25" customHeight="1">
      <c r="B72" s="73" t="s">
        <v>174</v>
      </c>
      <c r="C72" s="73"/>
      <c r="D72" s="78"/>
    </row>
    <row r="73" spans="2:5" ht="21" customHeight="1">
      <c r="B73" s="2" t="s">
        <v>0</v>
      </c>
      <c r="C73" s="5" t="s">
        <v>39</v>
      </c>
      <c r="D73" s="5" t="s">
        <v>38</v>
      </c>
    </row>
    <row r="74" spans="2:5" ht="24.75" customHeight="1">
      <c r="B74" s="8" t="s">
        <v>178</v>
      </c>
      <c r="C74" s="18">
        <f>TB!B23</f>
        <v>1714.68</v>
      </c>
      <c r="D74" s="18">
        <v>1439.02</v>
      </c>
    </row>
    <row r="75" spans="2:5" ht="27" customHeight="1">
      <c r="B75" s="8" t="s">
        <v>194</v>
      </c>
      <c r="C75" s="18">
        <v>0</v>
      </c>
      <c r="D75" s="18">
        <v>5352</v>
      </c>
    </row>
    <row r="76" spans="2:5" ht="28.5">
      <c r="B76" s="9" t="s">
        <v>195</v>
      </c>
      <c r="C76" s="19">
        <f>SUM(C74:C75)</f>
        <v>1714.68</v>
      </c>
      <c r="D76" s="19">
        <f>SUM(D74:D75)</f>
        <v>6791.02</v>
      </c>
    </row>
  </sheetData>
  <mergeCells count="12">
    <mergeCell ref="B68:D68"/>
    <mergeCell ref="B72:D72"/>
    <mergeCell ref="B1:E1"/>
    <mergeCell ref="B3:E3"/>
    <mergeCell ref="B20:E20"/>
    <mergeCell ref="B26:E26"/>
    <mergeCell ref="B53:E53"/>
    <mergeCell ref="B60:E60"/>
    <mergeCell ref="B31:E31"/>
    <mergeCell ref="B36:E36"/>
    <mergeCell ref="B44:E44"/>
    <mergeCell ref="B48:E48"/>
  </mergeCells>
  <printOptions horizontalCentered="1"/>
  <pageMargins left="0.4" right="0.4" top="0.5" bottom="0.5" header="0.25" footer="0.25"/>
  <pageSetup paperSize="9" scale="91" fitToHeight="0" orientation="portrait" r:id="rId1"/>
  <headerFooter>
    <oddFooter>&amp;LBS Schedules&amp;RPage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H39"/>
  <sheetViews>
    <sheetView showGridLines="0" topLeftCell="A20" workbookViewId="0">
      <selection activeCell="E32" sqref="E32"/>
    </sheetView>
  </sheetViews>
  <sheetFormatPr defaultColWidth="8.625" defaultRowHeight="15"/>
  <cols>
    <col min="1" max="1" width="8.625" style="1"/>
    <col min="2" max="2" width="40.625" style="1" customWidth="1"/>
    <col min="3" max="3" width="19.375" style="1" customWidth="1"/>
    <col min="4" max="5" width="20" style="6" customWidth="1"/>
    <col min="6" max="16384" width="8.625" style="1"/>
  </cols>
  <sheetData>
    <row r="1" spans="2:8" ht="24.95" customHeight="1">
      <c r="B1" s="79" t="s">
        <v>47</v>
      </c>
      <c r="C1" s="79"/>
      <c r="D1" s="79"/>
      <c r="E1" s="79"/>
    </row>
    <row r="2" spans="2:8" ht="8.1" customHeight="1">
      <c r="B2" s="15"/>
      <c r="C2" s="15"/>
      <c r="D2" s="17"/>
      <c r="E2" s="17"/>
    </row>
    <row r="3" spans="2:8" ht="21.95" customHeight="1">
      <c r="B3" s="73" t="s">
        <v>180</v>
      </c>
      <c r="C3" s="73"/>
      <c r="D3" s="73"/>
      <c r="E3" s="73"/>
    </row>
    <row r="4" spans="2:8" ht="21" customHeight="1">
      <c r="B4" s="2" t="s">
        <v>0</v>
      </c>
      <c r="C4" s="5" t="s">
        <v>39</v>
      </c>
      <c r="D4" s="5" t="s">
        <v>38</v>
      </c>
      <c r="E4" s="1"/>
    </row>
    <row r="5" spans="2:8" ht="18" customHeight="1">
      <c r="B5" s="8" t="s">
        <v>18</v>
      </c>
      <c r="C5" s="18">
        <f>TB!C51</f>
        <v>84131053.109999999</v>
      </c>
      <c r="D5" s="31">
        <v>95865039.180000007</v>
      </c>
      <c r="E5" s="1"/>
    </row>
    <row r="6" spans="2:8" ht="18" customHeight="1">
      <c r="B6" s="15"/>
      <c r="C6" s="15"/>
      <c r="D6" s="17"/>
      <c r="E6" s="17"/>
    </row>
    <row r="7" spans="2:8" ht="21.95" customHeight="1">
      <c r="B7" s="81" t="s">
        <v>181</v>
      </c>
      <c r="C7" s="81"/>
      <c r="D7" s="81"/>
      <c r="E7" s="80"/>
    </row>
    <row r="8" spans="2:8" ht="21" customHeight="1">
      <c r="B8" s="2" t="s">
        <v>0</v>
      </c>
      <c r="C8" s="5" t="s">
        <v>39</v>
      </c>
      <c r="D8" s="5" t="s">
        <v>38</v>
      </c>
      <c r="E8" s="24"/>
    </row>
    <row r="9" spans="2:8" ht="18" customHeight="1">
      <c r="B9" s="8" t="s">
        <v>49</v>
      </c>
      <c r="C9" s="34">
        <v>0</v>
      </c>
      <c r="D9" s="34">
        <v>0</v>
      </c>
      <c r="E9" s="15"/>
      <c r="F9" s="15"/>
      <c r="G9" s="17"/>
      <c r="H9" s="17"/>
    </row>
    <row r="10" spans="2:8" ht="18" customHeight="1">
      <c r="B10" s="32"/>
      <c r="C10" s="26"/>
      <c r="D10" s="33"/>
      <c r="E10" s="15"/>
      <c r="F10" s="15"/>
      <c r="G10" s="17"/>
      <c r="H10" s="17"/>
    </row>
    <row r="11" spans="2:8" ht="21.95" customHeight="1">
      <c r="B11" s="80" t="s">
        <v>182</v>
      </c>
      <c r="C11" s="80"/>
      <c r="D11" s="80"/>
      <c r="E11" s="80"/>
    </row>
    <row r="12" spans="2:8" ht="21" customHeight="1">
      <c r="B12" s="2" t="s">
        <v>0</v>
      </c>
      <c r="C12" s="5" t="s">
        <v>39</v>
      </c>
      <c r="D12" s="5" t="s">
        <v>38</v>
      </c>
      <c r="E12" s="25"/>
    </row>
    <row r="13" spans="2:8" ht="18" customHeight="1">
      <c r="B13" s="8" t="s">
        <v>6</v>
      </c>
      <c r="C13" s="18">
        <f>TB!B38</f>
        <v>3664516.55</v>
      </c>
      <c r="D13" s="72">
        <v>4279134.7699999996</v>
      </c>
      <c r="E13" s="1"/>
    </row>
    <row r="14" spans="2:8" ht="18" customHeight="1">
      <c r="B14" s="8" t="s">
        <v>196</v>
      </c>
      <c r="C14" s="18">
        <f>TB!B56-TB!C56</f>
        <v>80602106.700000003</v>
      </c>
      <c r="D14" s="59">
        <v>91106620</v>
      </c>
      <c r="E14" s="1"/>
    </row>
    <row r="15" spans="2:8" ht="18" customHeight="1">
      <c r="B15" s="8" t="s">
        <v>135</v>
      </c>
      <c r="C15" s="18">
        <f>TB!B63-TB!C63</f>
        <v>1316147.06</v>
      </c>
      <c r="D15" s="60">
        <f>200103+1164723</f>
        <v>1364826</v>
      </c>
      <c r="E15" s="1"/>
    </row>
    <row r="16" spans="2:8" ht="18" customHeight="1">
      <c r="B16" s="8" t="s">
        <v>19</v>
      </c>
      <c r="C16" s="18">
        <f>TB!B50+TB!C68</f>
        <v>4021447.26</v>
      </c>
      <c r="D16" s="18">
        <v>3664516.55</v>
      </c>
      <c r="E16" s="1"/>
    </row>
    <row r="17" spans="2:6" ht="18" customHeight="1">
      <c r="B17" s="9" t="s">
        <v>20</v>
      </c>
      <c r="C17" s="19">
        <f>C13+C14-C16+C15</f>
        <v>81561323.049999997</v>
      </c>
      <c r="D17" s="19">
        <f>D13+D14-D16+D15</f>
        <v>93086064.219999999</v>
      </c>
      <c r="E17" s="1"/>
    </row>
    <row r="18" spans="2:6" ht="18" customHeight="1">
      <c r="B18" s="15"/>
      <c r="C18" s="15"/>
      <c r="D18" s="17"/>
      <c r="E18" s="26"/>
    </row>
    <row r="19" spans="2:6" ht="21.95" customHeight="1">
      <c r="B19" s="80" t="s">
        <v>183</v>
      </c>
      <c r="C19" s="80"/>
      <c r="D19" s="80"/>
      <c r="E19" s="80"/>
    </row>
    <row r="20" spans="2:6" ht="21" customHeight="1">
      <c r="B20" s="2" t="s">
        <v>0</v>
      </c>
      <c r="C20" s="5" t="s">
        <v>39</v>
      </c>
      <c r="D20" s="5" t="s">
        <v>38</v>
      </c>
      <c r="E20" s="25"/>
    </row>
    <row r="21" spans="2:6" ht="21" customHeight="1">
      <c r="B21" s="8" t="s">
        <v>73</v>
      </c>
      <c r="C21" s="69">
        <f>TB!B70</f>
        <v>53600</v>
      </c>
      <c r="D21" s="69">
        <v>50000</v>
      </c>
      <c r="E21" s="25"/>
    </row>
    <row r="22" spans="2:6" ht="18" customHeight="1">
      <c r="B22" s="8" t="s">
        <v>87</v>
      </c>
      <c r="C22" s="18">
        <f>TB!B74</f>
        <v>2965</v>
      </c>
      <c r="D22" s="18">
        <v>8722</v>
      </c>
      <c r="E22" s="1"/>
      <c r="F22"/>
    </row>
    <row r="23" spans="2:6" ht="18" customHeight="1">
      <c r="B23" s="8" t="s">
        <v>85</v>
      </c>
      <c r="C23" s="18">
        <f>TB!B76</f>
        <v>5000</v>
      </c>
      <c r="D23" s="18">
        <f>2000+1500</f>
        <v>3500</v>
      </c>
      <c r="E23" s="1"/>
      <c r="F23"/>
    </row>
    <row r="24" spans="2:6" ht="18" customHeight="1">
      <c r="B24" s="8" t="s">
        <v>136</v>
      </c>
      <c r="C24" s="18">
        <f>TB!B77</f>
        <v>504000</v>
      </c>
      <c r="D24" s="18">
        <v>570000</v>
      </c>
      <c r="E24" s="1"/>
      <c r="F24"/>
    </row>
    <row r="25" spans="2:6" ht="18" customHeight="1">
      <c r="B25" s="8" t="s">
        <v>137</v>
      </c>
      <c r="C25" s="18">
        <f>TB!B78</f>
        <v>101055</v>
      </c>
      <c r="D25" s="18">
        <v>108810</v>
      </c>
      <c r="E25" s="1"/>
      <c r="F25"/>
    </row>
    <row r="26" spans="2:6" ht="18" customHeight="1">
      <c r="B26" s="8" t="s">
        <v>191</v>
      </c>
      <c r="C26" s="18">
        <f>3540+6080</f>
        <v>9620</v>
      </c>
      <c r="D26" s="18">
        <v>18435</v>
      </c>
      <c r="E26" s="1"/>
      <c r="F26"/>
    </row>
    <row r="27" spans="2:6" ht="18" customHeight="1">
      <c r="B27" s="8" t="s">
        <v>81</v>
      </c>
      <c r="C27" s="18">
        <f>TB!B80</f>
        <v>6500</v>
      </c>
      <c r="D27" s="18">
        <v>0</v>
      </c>
      <c r="E27" s="1" t="s">
        <v>190</v>
      </c>
      <c r="F27"/>
    </row>
    <row r="28" spans="2:6" ht="18" customHeight="1">
      <c r="B28" s="8" t="s">
        <v>80</v>
      </c>
      <c r="C28" s="18">
        <f>TB!B81</f>
        <v>31786.74</v>
      </c>
      <c r="D28" s="18">
        <v>27431.84</v>
      </c>
      <c r="E28" s="1" t="s">
        <v>190</v>
      </c>
      <c r="F28"/>
    </row>
    <row r="29" spans="2:6" ht="18" customHeight="1">
      <c r="B29" s="8" t="s">
        <v>79</v>
      </c>
      <c r="C29" s="18">
        <f>TB!B83</f>
        <v>104140.38</v>
      </c>
      <c r="D29" s="18">
        <v>101665.74</v>
      </c>
      <c r="E29" s="1"/>
      <c r="F29"/>
    </row>
    <row r="30" spans="2:6" ht="18" customHeight="1">
      <c r="B30" s="8" t="s">
        <v>192</v>
      </c>
      <c r="C30" s="18">
        <v>0</v>
      </c>
      <c r="D30" s="18">
        <v>5550</v>
      </c>
      <c r="E30" s="1"/>
      <c r="F30"/>
    </row>
    <row r="31" spans="2:6" ht="18" customHeight="1">
      <c r="B31" s="8" t="s">
        <v>50</v>
      </c>
      <c r="C31" s="18">
        <f>TB!B72+TB!B75</f>
        <v>27070</v>
      </c>
      <c r="D31" s="18">
        <v>17902</v>
      </c>
      <c r="E31" s="1"/>
      <c r="F31"/>
    </row>
    <row r="32" spans="2:6" ht="18" customHeight="1">
      <c r="B32" s="8" t="s">
        <v>51</v>
      </c>
      <c r="C32" s="18">
        <f>PPE!G11</f>
        <v>35425.449999999997</v>
      </c>
      <c r="D32" s="18">
        <v>40481</v>
      </c>
      <c r="E32" s="1"/>
      <c r="F32"/>
    </row>
    <row r="33" spans="2:5" ht="18" customHeight="1">
      <c r="B33" s="9" t="s">
        <v>22</v>
      </c>
      <c r="C33" s="19">
        <f>SUM(C21:C32)</f>
        <v>881162.57</v>
      </c>
      <c r="D33" s="19">
        <f>SUM(D21:D32)</f>
        <v>952497.58</v>
      </c>
      <c r="E33" s="1"/>
    </row>
    <row r="34" spans="2:5" ht="18" customHeight="1">
      <c r="B34" s="15"/>
      <c r="C34" s="15"/>
      <c r="D34" s="17"/>
      <c r="E34" s="17"/>
    </row>
    <row r="35" spans="2:5" ht="21.95" customHeight="1">
      <c r="B35" s="80" t="s">
        <v>184</v>
      </c>
      <c r="C35" s="80"/>
      <c r="D35" s="80"/>
      <c r="E35" s="80"/>
    </row>
    <row r="36" spans="2:5" ht="21" customHeight="1">
      <c r="B36" s="2" t="s">
        <v>0</v>
      </c>
      <c r="C36" s="5" t="s">
        <v>39</v>
      </c>
      <c r="D36" s="5" t="s">
        <v>38</v>
      </c>
      <c r="E36" s="25"/>
    </row>
    <row r="37" spans="2:5" ht="18" customHeight="1">
      <c r="B37" s="8" t="s">
        <v>138</v>
      </c>
      <c r="C37" s="18">
        <f>TB!B71</f>
        <v>19041.61</v>
      </c>
      <c r="D37" s="31">
        <v>25297.68</v>
      </c>
      <c r="E37" s="1"/>
    </row>
    <row r="38" spans="2:5" ht="18" customHeight="1">
      <c r="B38" s="9" t="s">
        <v>23</v>
      </c>
      <c r="C38" s="19">
        <f>SUM(C37:C37)</f>
        <v>19041.61</v>
      </c>
      <c r="D38" s="19">
        <f>SUM(D37:D37)</f>
        <v>25297.68</v>
      </c>
      <c r="E38" s="1"/>
    </row>
    <row r="39" spans="2:5" ht="18" customHeight="1">
      <c r="B39" s="15"/>
      <c r="C39" s="15"/>
      <c r="D39" s="17"/>
      <c r="E39" s="17"/>
    </row>
  </sheetData>
  <mergeCells count="6">
    <mergeCell ref="B35:E35"/>
    <mergeCell ref="B19:E19"/>
    <mergeCell ref="B1:E1"/>
    <mergeCell ref="B3:E3"/>
    <mergeCell ref="B7:E7"/>
    <mergeCell ref="B11:E11"/>
  </mergeCells>
  <printOptions horizontalCentered="1"/>
  <pageMargins left="0.4" right="0.4" top="0.5" bottom="0.5" header="0.25" footer="0.25"/>
  <pageSetup paperSize="9" scale="92" fitToHeight="0" orientation="portrait" r:id="rId1"/>
  <headerFooter>
    <oddFooter>&amp;RPage &amp;P of &amp;N&amp;LP&amp;L Notes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7A06-54D1-47E4-803A-9FC78C1F8CED}">
  <dimension ref="B2:H11"/>
  <sheetViews>
    <sheetView topLeftCell="A6" zoomScaleNormal="100" workbookViewId="0">
      <selection activeCell="D19" sqref="D19"/>
    </sheetView>
  </sheetViews>
  <sheetFormatPr defaultRowHeight="26.25" customHeight="1"/>
  <cols>
    <col min="2" max="2" width="17" customWidth="1"/>
    <col min="3" max="3" width="17.875" bestFit="1" customWidth="1"/>
    <col min="4" max="4" width="23.125" customWidth="1"/>
    <col min="5" max="5" width="23.875" bestFit="1" customWidth="1"/>
    <col min="6" max="6" width="6" bestFit="1" customWidth="1"/>
    <col min="7" max="7" width="13.75" bestFit="1" customWidth="1"/>
    <col min="8" max="8" width="16.75" bestFit="1" customWidth="1"/>
  </cols>
  <sheetData>
    <row r="2" spans="2:8" ht="26.25" customHeight="1">
      <c r="B2" s="73" t="s">
        <v>161</v>
      </c>
      <c r="C2" s="73"/>
      <c r="D2" s="73"/>
      <c r="E2" s="73"/>
      <c r="F2" s="63"/>
      <c r="G2" s="63"/>
      <c r="H2" s="63"/>
    </row>
    <row r="3" spans="2:8" ht="26.25" customHeight="1">
      <c r="B3" s="64" t="s">
        <v>0</v>
      </c>
      <c r="C3" s="64" t="s">
        <v>154</v>
      </c>
      <c r="D3" s="64" t="s">
        <v>155</v>
      </c>
      <c r="E3" s="64" t="s">
        <v>156</v>
      </c>
      <c r="F3" s="64" t="s">
        <v>157</v>
      </c>
      <c r="G3" s="64" t="s">
        <v>51</v>
      </c>
      <c r="H3" s="64" t="s">
        <v>76</v>
      </c>
    </row>
    <row r="4" spans="2:8" ht="26.25" customHeight="1">
      <c r="B4" s="65" t="s">
        <v>162</v>
      </c>
      <c r="C4" s="65">
        <v>149721</v>
      </c>
      <c r="D4" s="65">
        <v>0</v>
      </c>
      <c r="E4" s="65">
        <v>0</v>
      </c>
      <c r="F4" s="65">
        <v>0.15</v>
      </c>
      <c r="G4" s="65">
        <f>((C4*F4)+(D4*F4)+((E4*F4))/2)</f>
        <v>22458.149999999998</v>
      </c>
      <c r="H4" s="65">
        <f>(C4+D4+E4)-G4</f>
        <v>127262.85</v>
      </c>
    </row>
    <row r="5" spans="2:8" ht="26.25" customHeight="1">
      <c r="B5" s="65" t="s">
        <v>163</v>
      </c>
      <c r="C5" s="65">
        <v>23</v>
      </c>
      <c r="D5" s="65">
        <v>0</v>
      </c>
      <c r="E5" s="65">
        <v>5090</v>
      </c>
      <c r="F5" s="65">
        <v>0.4</v>
      </c>
      <c r="G5" s="65">
        <f>((C5*F5)+(D5*F5)+((E5*F5))/2)</f>
        <v>1027.2</v>
      </c>
      <c r="H5" s="65">
        <f>(C5+D5+E5)-G5</f>
        <v>4085.8</v>
      </c>
    </row>
    <row r="6" spans="2:8" ht="27.75" customHeight="1">
      <c r="B6" s="65" t="s">
        <v>158</v>
      </c>
      <c r="C6" s="65">
        <v>601</v>
      </c>
      <c r="D6" s="65">
        <v>0</v>
      </c>
      <c r="E6" s="65">
        <v>0</v>
      </c>
      <c r="F6" s="65">
        <v>0.1</v>
      </c>
      <c r="G6" s="65">
        <f>((C6*F6)+(D6*F6)+((E6*F6))/2)</f>
        <v>60.1</v>
      </c>
      <c r="H6" s="65">
        <f t="shared" ref="H6:H10" si="0">(C6+D6+E6)-G6</f>
        <v>540.9</v>
      </c>
    </row>
    <row r="7" spans="2:8" ht="31.5" customHeight="1">
      <c r="B7" s="65" t="s">
        <v>159</v>
      </c>
      <c r="C7" s="65">
        <v>1614925</v>
      </c>
      <c r="D7" s="65">
        <v>0</v>
      </c>
      <c r="E7" s="65">
        <v>0</v>
      </c>
      <c r="F7" s="65">
        <v>0</v>
      </c>
      <c r="G7" s="65">
        <f t="shared" ref="G7:G10" si="1">((C7*F7)+(D7*F7)+((E7*F7))/2)</f>
        <v>0</v>
      </c>
      <c r="H7" s="65">
        <f t="shared" si="0"/>
        <v>1614925</v>
      </c>
    </row>
    <row r="8" spans="2:8" ht="26.25" customHeight="1">
      <c r="B8" s="65" t="s">
        <v>118</v>
      </c>
      <c r="C8" s="65">
        <v>78329</v>
      </c>
      <c r="D8" s="65">
        <v>0</v>
      </c>
      <c r="E8" s="65">
        <v>0</v>
      </c>
      <c r="F8" s="65">
        <v>0.15</v>
      </c>
      <c r="G8" s="65">
        <f t="shared" si="1"/>
        <v>11749.35</v>
      </c>
      <c r="H8" s="65">
        <f t="shared" si="0"/>
        <v>66579.649999999994</v>
      </c>
    </row>
    <row r="9" spans="2:8" ht="26.25" customHeight="1">
      <c r="B9" s="66" t="s">
        <v>117</v>
      </c>
      <c r="C9" s="65">
        <v>1300555</v>
      </c>
      <c r="D9" s="65">
        <v>0</v>
      </c>
      <c r="E9" s="65">
        <v>0</v>
      </c>
      <c r="F9" s="65">
        <v>0</v>
      </c>
      <c r="G9" s="65">
        <f t="shared" si="1"/>
        <v>0</v>
      </c>
      <c r="H9" s="65">
        <f t="shared" si="0"/>
        <v>1300555</v>
      </c>
    </row>
    <row r="10" spans="2:8" ht="26.25" customHeight="1">
      <c r="B10" s="65" t="s">
        <v>160</v>
      </c>
      <c r="C10" s="65">
        <v>871</v>
      </c>
      <c r="D10" s="65">
        <v>0</v>
      </c>
      <c r="E10" s="65">
        <v>0</v>
      </c>
      <c r="F10" s="65">
        <v>0.15</v>
      </c>
      <c r="G10" s="65">
        <f t="shared" si="1"/>
        <v>130.65</v>
      </c>
      <c r="H10" s="65">
        <f t="shared" si="0"/>
        <v>740.35</v>
      </c>
    </row>
    <row r="11" spans="2:8" ht="26.25" customHeight="1">
      <c r="B11" s="67" t="s">
        <v>48</v>
      </c>
      <c r="C11" s="67">
        <f>SUM(C4:C10)</f>
        <v>3145025</v>
      </c>
      <c r="D11" s="67">
        <f>SUM(D4:D10)</f>
        <v>0</v>
      </c>
      <c r="E11" s="67">
        <f>SUM(E4:E10)</f>
        <v>5090</v>
      </c>
      <c r="F11" s="67">
        <v>0</v>
      </c>
      <c r="G11" s="67">
        <f>SUM(G4:G10)</f>
        <v>35425.449999999997</v>
      </c>
      <c r="H11" s="67">
        <f>SUM(H4:H10)</f>
        <v>3114689.5500000003</v>
      </c>
    </row>
  </sheetData>
  <mergeCells count="1">
    <mergeCell ref="B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9B32-1309-4B6F-9B2E-E5C7600B6A5D}">
  <dimension ref="A1:C85"/>
  <sheetViews>
    <sheetView workbookViewId="0">
      <selection activeCell="C21" sqref="C21"/>
    </sheetView>
  </sheetViews>
  <sheetFormatPr defaultRowHeight="14.25"/>
  <cols>
    <col min="1" max="1" width="36.125" bestFit="1" customWidth="1"/>
    <col min="2" max="3" width="10.875" bestFit="1" customWidth="1"/>
  </cols>
  <sheetData>
    <row r="1" spans="1:3" ht="15.75">
      <c r="A1" s="89" t="s">
        <v>130</v>
      </c>
      <c r="B1" s="89"/>
      <c r="C1" s="89"/>
    </row>
    <row r="2" spans="1:3">
      <c r="A2" s="82" t="s">
        <v>134</v>
      </c>
      <c r="B2" s="82"/>
      <c r="C2" s="82"/>
    </row>
    <row r="3" spans="1:3">
      <c r="A3" s="82" t="s">
        <v>133</v>
      </c>
      <c r="B3" s="82"/>
      <c r="C3" s="82"/>
    </row>
    <row r="4" spans="1:3">
      <c r="A4" s="82" t="s">
        <v>132</v>
      </c>
      <c r="B4" s="82"/>
      <c r="C4" s="82"/>
    </row>
    <row r="5" spans="1:3">
      <c r="A5" s="90" t="s">
        <v>131</v>
      </c>
      <c r="B5" s="90"/>
      <c r="C5" s="90"/>
    </row>
    <row r="6" spans="1:3" ht="15.75">
      <c r="A6" s="91" t="s">
        <v>52</v>
      </c>
      <c r="B6" s="91"/>
      <c r="C6" s="91"/>
    </row>
    <row r="7" spans="1:3">
      <c r="A7" s="82" t="s">
        <v>53</v>
      </c>
      <c r="B7" s="82"/>
      <c r="C7" s="82"/>
    </row>
    <row r="8" spans="1:3">
      <c r="A8" s="58" t="s">
        <v>54</v>
      </c>
      <c r="B8" s="83" t="s">
        <v>130</v>
      </c>
      <c r="C8" s="84"/>
    </row>
    <row r="9" spans="1:3">
      <c r="A9" s="57" t="s">
        <v>0</v>
      </c>
      <c r="B9" s="85" t="s">
        <v>53</v>
      </c>
      <c r="C9" s="86"/>
    </row>
    <row r="10" spans="1:3">
      <c r="A10" s="57" t="s">
        <v>54</v>
      </c>
      <c r="B10" s="87" t="s">
        <v>76</v>
      </c>
      <c r="C10" s="88"/>
    </row>
    <row r="11" spans="1:3">
      <c r="A11" s="56" t="s">
        <v>54</v>
      </c>
      <c r="B11" s="55" t="s">
        <v>55</v>
      </c>
      <c r="C11" s="55" t="s">
        <v>56</v>
      </c>
    </row>
    <row r="12" spans="1:3">
      <c r="A12" s="46" t="s">
        <v>57</v>
      </c>
      <c r="B12" s="36">
        <v>195000</v>
      </c>
      <c r="C12" s="36">
        <v>12199641.970000001</v>
      </c>
    </row>
    <row r="13" spans="1:3">
      <c r="A13" s="43" t="s">
        <v>68</v>
      </c>
      <c r="B13" s="42">
        <v>195000</v>
      </c>
      <c r="C13" s="41"/>
    </row>
    <row r="14" spans="1:3">
      <c r="A14" s="43" t="s">
        <v>129</v>
      </c>
      <c r="B14" s="41"/>
      <c r="C14" s="42">
        <v>65850</v>
      </c>
    </row>
    <row r="15" spans="1:3">
      <c r="A15" s="43" t="s">
        <v>128</v>
      </c>
      <c r="B15" s="41"/>
      <c r="C15" s="42">
        <v>3384</v>
      </c>
    </row>
    <row r="16" spans="1:3">
      <c r="A16" s="43" t="s">
        <v>127</v>
      </c>
      <c r="B16" s="41"/>
      <c r="C16" s="42">
        <v>78607</v>
      </c>
    </row>
    <row r="17" spans="1:3">
      <c r="A17" s="43" t="s">
        <v>126</v>
      </c>
      <c r="B17" s="41"/>
      <c r="C17" s="42">
        <v>12051800.970000001</v>
      </c>
    </row>
    <row r="18" spans="1:3">
      <c r="A18" s="46" t="s">
        <v>58</v>
      </c>
      <c r="B18" s="44"/>
      <c r="C18" s="45">
        <v>1669000</v>
      </c>
    </row>
    <row r="19" spans="1:3">
      <c r="A19" s="43" t="s">
        <v>125</v>
      </c>
      <c r="B19" s="41"/>
      <c r="C19" s="42">
        <v>1669000</v>
      </c>
    </row>
    <row r="20" spans="1:3">
      <c r="A20" s="46" t="s">
        <v>59</v>
      </c>
      <c r="B20" s="45">
        <v>56780.68</v>
      </c>
      <c r="C20" s="45">
        <v>2040301.43</v>
      </c>
    </row>
    <row r="21" spans="1:3">
      <c r="A21" s="52" t="s">
        <v>60</v>
      </c>
      <c r="B21" s="54">
        <v>1714.68</v>
      </c>
      <c r="C21" s="54">
        <v>207.83</v>
      </c>
    </row>
    <row r="22" spans="1:3">
      <c r="A22" s="43" t="s">
        <v>124</v>
      </c>
      <c r="B22" s="39"/>
      <c r="C22" s="38">
        <v>207.83</v>
      </c>
    </row>
    <row r="23" spans="1:3">
      <c r="A23" s="49" t="s">
        <v>123</v>
      </c>
      <c r="B23" s="38">
        <v>1714.68</v>
      </c>
      <c r="C23" s="39"/>
    </row>
    <row r="24" spans="1:3">
      <c r="A24" s="52" t="s">
        <v>61</v>
      </c>
      <c r="B24" s="38">
        <v>55066</v>
      </c>
      <c r="C24" s="38">
        <v>2040093.6</v>
      </c>
    </row>
    <row r="25" spans="1:3">
      <c r="A25" s="46" t="s">
        <v>62</v>
      </c>
      <c r="B25" s="45">
        <v>3114690</v>
      </c>
      <c r="C25" s="44"/>
    </row>
    <row r="26" spans="1:3">
      <c r="A26" s="43" t="s">
        <v>122</v>
      </c>
      <c r="B26" s="42">
        <v>127263</v>
      </c>
      <c r="C26" s="41"/>
    </row>
    <row r="27" spans="1:3">
      <c r="A27" s="43" t="s">
        <v>121</v>
      </c>
      <c r="B27" s="42">
        <v>4086</v>
      </c>
      <c r="C27" s="41"/>
    </row>
    <row r="28" spans="1:3">
      <c r="A28" s="43" t="s">
        <v>120</v>
      </c>
      <c r="B28" s="42">
        <v>541</v>
      </c>
      <c r="C28" s="41"/>
    </row>
    <row r="29" spans="1:3">
      <c r="A29" s="43" t="s">
        <v>119</v>
      </c>
      <c r="B29" s="42">
        <v>1614925</v>
      </c>
      <c r="C29" s="41"/>
    </row>
    <row r="30" spans="1:3">
      <c r="A30" s="43" t="s">
        <v>118</v>
      </c>
      <c r="B30" s="42">
        <v>66580</v>
      </c>
      <c r="C30" s="41"/>
    </row>
    <row r="31" spans="1:3">
      <c r="A31" s="43" t="s">
        <v>117</v>
      </c>
      <c r="B31" s="42">
        <v>1300555</v>
      </c>
      <c r="C31" s="41"/>
    </row>
    <row r="32" spans="1:3">
      <c r="A32" s="43" t="s">
        <v>116</v>
      </c>
      <c r="B32" s="42">
        <v>740</v>
      </c>
      <c r="C32" s="41"/>
    </row>
    <row r="33" spans="1:3">
      <c r="A33" s="46" t="s">
        <v>2</v>
      </c>
      <c r="B33" s="45">
        <v>750324</v>
      </c>
      <c r="C33" s="44"/>
    </row>
    <row r="34" spans="1:3">
      <c r="A34" s="43" t="s">
        <v>115</v>
      </c>
      <c r="B34" s="42">
        <v>45911</v>
      </c>
      <c r="C34" s="41"/>
    </row>
    <row r="35" spans="1:3">
      <c r="A35" s="43" t="s">
        <v>114</v>
      </c>
      <c r="B35" s="42">
        <v>10250</v>
      </c>
      <c r="C35" s="41"/>
    </row>
    <row r="36" spans="1:3">
      <c r="A36" s="48" t="s">
        <v>113</v>
      </c>
      <c r="B36" s="42">
        <v>694163</v>
      </c>
      <c r="C36" s="41"/>
    </row>
    <row r="37" spans="1:3">
      <c r="A37" s="46" t="s">
        <v>63</v>
      </c>
      <c r="B37" s="45">
        <v>13727744.34</v>
      </c>
      <c r="C37" s="44"/>
    </row>
    <row r="38" spans="1:3">
      <c r="A38" s="52" t="s">
        <v>6</v>
      </c>
      <c r="B38" s="38">
        <v>3664516.55</v>
      </c>
      <c r="C38" s="39"/>
    </row>
    <row r="39" spans="1:3">
      <c r="A39" s="52" t="s">
        <v>112</v>
      </c>
      <c r="B39" s="51">
        <v>478348</v>
      </c>
      <c r="C39" s="50"/>
    </row>
    <row r="40" spans="1:3">
      <c r="A40" s="49" t="s">
        <v>111</v>
      </c>
      <c r="B40" s="38">
        <v>13508</v>
      </c>
      <c r="C40" s="39"/>
    </row>
    <row r="41" spans="1:3">
      <c r="A41" s="53" t="s">
        <v>110</v>
      </c>
      <c r="B41" s="38">
        <v>300211</v>
      </c>
      <c r="C41" s="39"/>
    </row>
    <row r="42" spans="1:3">
      <c r="A42" s="53" t="s">
        <v>109</v>
      </c>
      <c r="B42" s="38">
        <v>9832</v>
      </c>
      <c r="C42" s="39"/>
    </row>
    <row r="43" spans="1:3">
      <c r="A43" s="53" t="s">
        <v>108</v>
      </c>
      <c r="B43" s="38">
        <v>154797</v>
      </c>
      <c r="C43" s="39"/>
    </row>
    <row r="44" spans="1:3">
      <c r="A44" s="52" t="s">
        <v>107</v>
      </c>
      <c r="B44" s="38">
        <v>20000</v>
      </c>
      <c r="C44" s="39"/>
    </row>
    <row r="45" spans="1:3">
      <c r="A45" s="52" t="s">
        <v>65</v>
      </c>
      <c r="B45" s="38">
        <v>6720081.6299999999</v>
      </c>
      <c r="C45" s="39"/>
    </row>
    <row r="46" spans="1:3">
      <c r="A46" s="52" t="s">
        <v>66</v>
      </c>
      <c r="B46" s="38">
        <v>1017259.96</v>
      </c>
      <c r="C46" s="39"/>
    </row>
    <row r="47" spans="1:3">
      <c r="A47" s="52" t="s">
        <v>67</v>
      </c>
      <c r="B47" s="51">
        <v>1204538.2</v>
      </c>
      <c r="C47" s="50"/>
    </row>
    <row r="48" spans="1:3">
      <c r="A48" s="49" t="s">
        <v>106</v>
      </c>
      <c r="B48" s="38">
        <v>1029943.56</v>
      </c>
      <c r="C48" s="39"/>
    </row>
    <row r="49" spans="1:3">
      <c r="A49" s="49" t="s">
        <v>105</v>
      </c>
      <c r="B49" s="38">
        <v>174594.64</v>
      </c>
      <c r="C49" s="39"/>
    </row>
    <row r="50" spans="1:3">
      <c r="A50" s="43" t="s">
        <v>104</v>
      </c>
      <c r="B50" s="42">
        <v>623000</v>
      </c>
      <c r="C50" s="41"/>
    </row>
    <row r="51" spans="1:3">
      <c r="A51" s="46" t="s">
        <v>69</v>
      </c>
      <c r="B51" s="44"/>
      <c r="C51" s="45">
        <v>84131053.109999999</v>
      </c>
    </row>
    <row r="52" spans="1:3">
      <c r="A52" s="43" t="s">
        <v>103</v>
      </c>
      <c r="B52" s="41"/>
      <c r="C52" s="42">
        <v>13990194.279999999</v>
      </c>
    </row>
    <row r="53" spans="1:3">
      <c r="A53" s="43" t="s">
        <v>102</v>
      </c>
      <c r="B53" s="41"/>
      <c r="C53" s="42">
        <v>68484428.829999998</v>
      </c>
    </row>
    <row r="54" spans="1:3">
      <c r="A54" s="43" t="s">
        <v>101</v>
      </c>
      <c r="B54" s="41"/>
      <c r="C54" s="42">
        <v>1644000</v>
      </c>
    </row>
    <row r="55" spans="1:3">
      <c r="A55" s="43" t="s">
        <v>100</v>
      </c>
      <c r="B55" s="41"/>
      <c r="C55" s="42">
        <v>12430</v>
      </c>
    </row>
    <row r="56" spans="1:3">
      <c r="A56" s="46" t="s">
        <v>70</v>
      </c>
      <c r="B56" s="45">
        <v>81191583.590000004</v>
      </c>
      <c r="C56" s="45">
        <v>589476.89</v>
      </c>
    </row>
    <row r="57" spans="1:3">
      <c r="A57" s="43" t="s">
        <v>99</v>
      </c>
      <c r="B57" s="41"/>
      <c r="C57" s="42">
        <v>589476.89</v>
      </c>
    </row>
    <row r="58" spans="1:3">
      <c r="A58" s="43" t="s">
        <v>98</v>
      </c>
      <c r="B58" s="42">
        <v>78000</v>
      </c>
      <c r="C58" s="41"/>
    </row>
    <row r="59" spans="1:3">
      <c r="A59" s="43" t="s">
        <v>97</v>
      </c>
      <c r="B59" s="42">
        <v>10423494.57</v>
      </c>
      <c r="C59" s="41"/>
    </row>
    <row r="60" spans="1:3">
      <c r="A60" s="43" t="s">
        <v>96</v>
      </c>
      <c r="B60" s="42">
        <v>27748501</v>
      </c>
      <c r="C60" s="41"/>
    </row>
    <row r="61" spans="1:3">
      <c r="A61" s="43" t="s">
        <v>95</v>
      </c>
      <c r="B61" s="42">
        <v>3052181</v>
      </c>
      <c r="C61" s="41"/>
    </row>
    <row r="62" spans="1:3">
      <c r="A62" s="43" t="s">
        <v>94</v>
      </c>
      <c r="B62" s="42">
        <v>39889407.020000003</v>
      </c>
      <c r="C62" s="41"/>
    </row>
    <row r="63" spans="1:3">
      <c r="A63" s="46" t="s">
        <v>93</v>
      </c>
      <c r="B63" s="45">
        <v>1316148</v>
      </c>
      <c r="C63" s="45">
        <v>0.94</v>
      </c>
    </row>
    <row r="64" spans="1:3">
      <c r="A64" s="48" t="s">
        <v>92</v>
      </c>
      <c r="B64" s="42">
        <v>190891</v>
      </c>
      <c r="C64" s="41"/>
    </row>
    <row r="65" spans="1:3">
      <c r="A65" s="43" t="s">
        <v>91</v>
      </c>
      <c r="B65" s="42">
        <v>1125257</v>
      </c>
      <c r="C65" s="41"/>
    </row>
    <row r="66" spans="1:3">
      <c r="A66" s="43" t="s">
        <v>90</v>
      </c>
      <c r="B66" s="41"/>
      <c r="C66" s="42">
        <v>0.94</v>
      </c>
    </row>
    <row r="67" spans="1:3">
      <c r="A67" s="46" t="s">
        <v>71</v>
      </c>
      <c r="B67" s="47"/>
      <c r="C67" s="47"/>
    </row>
    <row r="68" spans="1:3">
      <c r="A68" s="46" t="s">
        <v>185</v>
      </c>
      <c r="B68" s="47"/>
      <c r="C68" s="68">
        <v>3398447.26</v>
      </c>
    </row>
    <row r="69" spans="1:3">
      <c r="A69" s="46" t="s">
        <v>72</v>
      </c>
      <c r="B69" s="45">
        <v>900203.73</v>
      </c>
      <c r="C69" s="44"/>
    </row>
    <row r="70" spans="1:3">
      <c r="A70" s="43" t="s">
        <v>73</v>
      </c>
      <c r="B70" s="42">
        <v>53600</v>
      </c>
      <c r="C70" s="41"/>
    </row>
    <row r="71" spans="1:3">
      <c r="A71" s="43" t="s">
        <v>89</v>
      </c>
      <c r="B71" s="42">
        <v>19041.61</v>
      </c>
      <c r="C71" s="41"/>
    </row>
    <row r="72" spans="1:3">
      <c r="A72" s="43" t="s">
        <v>88</v>
      </c>
      <c r="B72" s="42">
        <v>25423</v>
      </c>
      <c r="C72" s="41"/>
    </row>
    <row r="73" spans="1:3">
      <c r="A73" s="43" t="s">
        <v>51</v>
      </c>
      <c r="B73" s="42">
        <v>35425</v>
      </c>
      <c r="C73" s="41"/>
    </row>
    <row r="74" spans="1:3">
      <c r="A74" s="43" t="s">
        <v>87</v>
      </c>
      <c r="B74" s="42">
        <v>2965</v>
      </c>
      <c r="C74" s="41"/>
    </row>
    <row r="75" spans="1:3">
      <c r="A75" s="43" t="s">
        <v>86</v>
      </c>
      <c r="B75" s="42">
        <v>1647</v>
      </c>
      <c r="C75" s="41"/>
    </row>
    <row r="76" spans="1:3">
      <c r="A76" s="43" t="s">
        <v>85</v>
      </c>
      <c r="B76" s="42">
        <v>5000</v>
      </c>
      <c r="C76" s="41"/>
    </row>
    <row r="77" spans="1:3">
      <c r="A77" s="43" t="s">
        <v>84</v>
      </c>
      <c r="B77" s="42">
        <v>504000</v>
      </c>
      <c r="C77" s="41"/>
    </row>
    <row r="78" spans="1:3">
      <c r="A78" s="43" t="s">
        <v>83</v>
      </c>
      <c r="B78" s="42">
        <v>101055</v>
      </c>
      <c r="C78" s="41"/>
    </row>
    <row r="79" spans="1:3">
      <c r="A79" s="43" t="s">
        <v>82</v>
      </c>
      <c r="B79" s="42">
        <v>3540</v>
      </c>
      <c r="C79" s="41"/>
    </row>
    <row r="80" spans="1:3">
      <c r="A80" s="43" t="s">
        <v>81</v>
      </c>
      <c r="B80" s="42">
        <v>6500</v>
      </c>
      <c r="C80" s="41"/>
    </row>
    <row r="81" spans="1:3">
      <c r="A81" s="43" t="s">
        <v>80</v>
      </c>
      <c r="B81" s="42">
        <v>31786.74</v>
      </c>
      <c r="C81" s="41"/>
    </row>
    <row r="82" spans="1:3">
      <c r="A82" s="43" t="s">
        <v>74</v>
      </c>
      <c r="B82" s="42">
        <v>6080</v>
      </c>
      <c r="C82" s="41"/>
    </row>
    <row r="83" spans="1:3">
      <c r="A83" s="43" t="s">
        <v>79</v>
      </c>
      <c r="B83" s="42">
        <v>104140.38</v>
      </c>
      <c r="C83" s="41"/>
    </row>
    <row r="84" spans="1:3">
      <c r="A84" s="40" t="s">
        <v>78</v>
      </c>
      <c r="B84" s="39"/>
      <c r="C84" s="38">
        <v>623000</v>
      </c>
    </row>
    <row r="85" spans="1:3">
      <c r="A85" s="37" t="s">
        <v>75</v>
      </c>
      <c r="B85" s="36">
        <v>101252474.34</v>
      </c>
      <c r="C85" s="36">
        <v>101252474.34</v>
      </c>
    </row>
  </sheetData>
  <mergeCells count="10">
    <mergeCell ref="A7:C7"/>
    <mergeCell ref="B8:C8"/>
    <mergeCell ref="B9:C9"/>
    <mergeCell ref="B10:C10"/>
    <mergeCell ref="A1:C1"/>
    <mergeCell ref="A2:C2"/>
    <mergeCell ref="A3:C3"/>
    <mergeCell ref="A4:C4"/>
    <mergeCell ref="A5:C5"/>
    <mergeCell ref="A6: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1C37-B477-454F-B6EC-305BF02BA8C7}">
  <dimension ref="A1:B26"/>
  <sheetViews>
    <sheetView tabSelected="1" workbookViewId="0">
      <selection activeCell="B5" sqref="B5"/>
    </sheetView>
  </sheetViews>
  <sheetFormatPr defaultColWidth="7.625" defaultRowHeight="14.25"/>
  <cols>
    <col min="1" max="1" width="3.5" customWidth="1"/>
    <col min="2" max="2" width="96.25" customWidth="1"/>
  </cols>
  <sheetData>
    <row r="1" spans="1:2" ht="15.75">
      <c r="A1" s="92" t="s">
        <v>77</v>
      </c>
    </row>
    <row r="2" spans="1:2" ht="15">
      <c r="A2" s="93" t="s">
        <v>223</v>
      </c>
    </row>
    <row r="4" spans="1:2">
      <c r="A4" s="94" t="s">
        <v>199</v>
      </c>
      <c r="B4" s="94" t="s">
        <v>200</v>
      </c>
    </row>
    <row r="5" spans="1:2" ht="36">
      <c r="B5" s="95" t="s">
        <v>201</v>
      </c>
    </row>
    <row r="7" spans="1:2">
      <c r="A7" s="94" t="s">
        <v>202</v>
      </c>
      <c r="B7" s="94" t="s">
        <v>203</v>
      </c>
    </row>
    <row r="8" spans="1:2" ht="48">
      <c r="B8" s="95" t="s">
        <v>204</v>
      </c>
    </row>
    <row r="10" spans="1:2">
      <c r="A10" s="94" t="s">
        <v>205</v>
      </c>
      <c r="B10" s="94" t="s">
        <v>206</v>
      </c>
    </row>
    <row r="11" spans="1:2" ht="84">
      <c r="B11" s="95" t="s">
        <v>207</v>
      </c>
    </row>
    <row r="13" spans="1:2">
      <c r="A13" s="94" t="s">
        <v>208</v>
      </c>
      <c r="B13" s="94" t="s">
        <v>209</v>
      </c>
    </row>
    <row r="14" spans="1:2" ht="24">
      <c r="B14" s="95" t="s">
        <v>210</v>
      </c>
    </row>
    <row r="16" spans="1:2">
      <c r="A16" s="94" t="s">
        <v>211</v>
      </c>
      <c r="B16" s="94" t="s">
        <v>212</v>
      </c>
    </row>
    <row r="17" spans="1:2" ht="36">
      <c r="B17" s="95" t="s">
        <v>213</v>
      </c>
    </row>
    <row r="19" spans="1:2">
      <c r="A19" s="94" t="s">
        <v>214</v>
      </c>
      <c r="B19" s="94" t="s">
        <v>215</v>
      </c>
    </row>
    <row r="20" spans="1:2" ht="24">
      <c r="B20" s="95" t="s">
        <v>216</v>
      </c>
    </row>
    <row r="22" spans="1:2">
      <c r="A22" s="94" t="s">
        <v>217</v>
      </c>
      <c r="B22" s="94" t="s">
        <v>218</v>
      </c>
    </row>
    <row r="23" spans="1:2" ht="48">
      <c r="B23" s="95" t="s">
        <v>219</v>
      </c>
    </row>
    <row r="25" spans="1:2">
      <c r="A25" s="94" t="s">
        <v>220</v>
      </c>
      <c r="B25" s="94" t="s">
        <v>221</v>
      </c>
    </row>
    <row r="26" spans="1:2" ht="84">
      <c r="B26" s="95"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Balance Sheet</vt:lpstr>
      <vt:lpstr>Profit &amp; Loss</vt:lpstr>
      <vt:lpstr>BS Schedules</vt:lpstr>
      <vt:lpstr>P&amp;L Notes</vt:lpstr>
      <vt:lpstr>PPE</vt:lpstr>
      <vt:lpstr>TB</vt:lpstr>
      <vt:lpstr>Accounting policies</vt:lpstr>
      <vt:lpstr>'Balance Sheet'!Print_Area</vt:lpstr>
      <vt:lpstr>'BS Schedules'!Print_Area</vt:lpstr>
      <vt:lpstr>'P&amp;L Notes'!Print_Area</vt:lpstr>
      <vt:lpstr>'Profit &amp; Loss'!Print_Area</vt:lpstr>
      <vt:lpstr>'Balance Sheet'!Print_Titles</vt:lpstr>
      <vt:lpstr>'BS Schedules'!Print_Titles</vt:lpstr>
      <vt:lpstr>'P&amp;L Notes'!Print_Titles</vt:lpstr>
      <vt:lpstr>'Profit &amp; Loss'!Print_Titles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Accounts</cp:lastModifiedBy>
  <dcterms:created xsi:type="dcterms:W3CDTF">2026-08-25T12:13:50Z</dcterms:created>
  <dcterms:modified xsi:type="dcterms:W3CDTF">2026-09-16T08:45:41Z</dcterms:modified>
</cp:coreProperties>
</file>